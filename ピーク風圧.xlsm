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hub\excel_s_beem\"/>
    </mc:Choice>
  </mc:AlternateContent>
  <xr:revisionPtr revIDLastSave="0" documentId="13_ncr:1_{D9957910-879D-46D9-968B-3E792EBEFB6D}" xr6:coauthVersionLast="36" xr6:coauthVersionMax="36" xr10:uidLastSave="{00000000-0000-0000-0000-000000000000}"/>
  <bookViews>
    <workbookView xWindow="-120" yWindow="-120" windowWidth="20733" windowHeight="11160" xr2:uid="{00000000-000D-0000-FFFF-FFFF00000000}"/>
  </bookViews>
  <sheets>
    <sheet name="帳壁" sheetId="5" r:id="rId1"/>
    <sheet name="屋根" sheetId="3" r:id="rId2"/>
    <sheet name="Sheet1" sheetId="1" r:id="rId3"/>
    <sheet name="Sheet2" sheetId="2" r:id="rId4"/>
  </sheets>
  <functionGroups builtInGroupCount="19"/>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42" i="1" l="1"/>
  <c r="G43" i="1"/>
  <c r="G41" i="1"/>
  <c r="G40" i="1"/>
  <c r="K31" i="1"/>
  <c r="E36" i="5" l="1"/>
  <c r="I26" i="5"/>
  <c r="I27" i="5"/>
  <c r="I28" i="5"/>
  <c r="I25" i="5"/>
  <c r="D24" i="5" s="1"/>
  <c r="H38" i="5"/>
  <c r="H39" i="5" s="1"/>
  <c r="H40" i="5" s="1"/>
  <c r="B7" i="5"/>
  <c r="C36" i="5" s="1"/>
  <c r="C39" i="5"/>
  <c r="C38" i="5"/>
  <c r="D38" i="5"/>
  <c r="D39" i="5"/>
  <c r="E38" i="5"/>
  <c r="F7" i="5"/>
  <c r="F18" i="5"/>
  <c r="D40" i="5"/>
  <c r="E39" i="5" l="1"/>
  <c r="E40" i="5" s="1"/>
  <c r="G38" i="5"/>
  <c r="I38" i="5" s="1"/>
  <c r="H17" i="3" l="1"/>
  <c r="H15" i="3"/>
  <c r="H14" i="3"/>
  <c r="F19" i="5"/>
  <c r="F17" i="5"/>
  <c r="F16" i="5"/>
  <c r="F11" i="5"/>
  <c r="G11" i="5" s="1"/>
  <c r="F13" i="5"/>
  <c r="F12" i="5"/>
  <c r="G12" i="5" s="1" a="1"/>
  <c r="G12" i="5" s="1"/>
  <c r="E7" i="3"/>
  <c r="D7" i="3"/>
  <c r="D7" i="5"/>
  <c r="F22" i="5" a="1"/>
  <c r="E7" i="5" a="1"/>
  <c r="F23" i="5" a="1"/>
  <c r="G13" i="5" a="1"/>
  <c r="G13" i="5" l="1"/>
  <c r="D32" i="5" s="1"/>
  <c r="F23" i="5"/>
  <c r="D34" i="5" s="1"/>
  <c r="F34" i="5" s="1"/>
  <c r="F22" i="5"/>
  <c r="D33" i="5" s="1"/>
  <c r="F33" i="5" s="1"/>
  <c r="E7" i="5"/>
  <c r="H32" i="5"/>
  <c r="H33" i="5" s="1"/>
  <c r="H34" i="5" s="1"/>
  <c r="H7" i="5" l="1"/>
  <c r="I34" i="5"/>
  <c r="I33" i="5"/>
  <c r="F32" i="5" l="1"/>
  <c r="I32" i="5" s="1"/>
  <c r="B7" i="3"/>
  <c r="F37" i="3"/>
  <c r="F36" i="3"/>
  <c r="H35" i="3"/>
  <c r="H36" i="3"/>
  <c r="H37" i="3" s="1"/>
  <c r="J11" i="3"/>
  <c r="G34" i="1"/>
  <c r="H34" i="1" s="1"/>
  <c r="J31" i="1"/>
  <c r="G39" i="1" s="1"/>
  <c r="B27" i="1"/>
  <c r="I36" i="1" s="1"/>
  <c r="E46" i="1" s="1"/>
  <c r="F59" i="1"/>
  <c r="F58" i="1"/>
  <c r="I58" i="1" s="1"/>
  <c r="H57" i="1"/>
  <c r="G37" i="1"/>
  <c r="H37" i="1" s="1"/>
  <c r="G36" i="1"/>
  <c r="H36" i="1" s="1"/>
  <c r="G35" i="1"/>
  <c r="H35" i="1" s="1"/>
  <c r="D25" i="1"/>
  <c r="H58" i="1"/>
  <c r="H59" i="1" s="1"/>
  <c r="C27" i="1"/>
  <c r="G7" i="3"/>
  <c r="D27" i="1"/>
  <c r="G27" i="1"/>
  <c r="K11" i="3"/>
  <c r="H16" i="3"/>
  <c r="G19" i="3" l="1"/>
  <c r="I36" i="3"/>
  <c r="B26" i="3"/>
  <c r="H60" i="1"/>
  <c r="H61" i="1" s="1"/>
  <c r="I59" i="1"/>
  <c r="H38" i="3"/>
  <c r="H39" i="3" s="1"/>
  <c r="I37" i="3"/>
  <c r="B46" i="1"/>
  <c r="J7" i="3"/>
  <c r="J27" i="1"/>
  <c r="D46" i="1"/>
  <c r="D57" i="1" s="1"/>
  <c r="F57" i="1" s="1"/>
  <c r="I57" i="1" s="1"/>
  <c r="D26" i="3"/>
  <c r="E26" i="3"/>
  <c r="G46" i="1"/>
  <c r="H46" i="1"/>
  <c r="D60" i="1" s="1"/>
  <c r="F60" i="1" s="1"/>
  <c r="I60" i="1" s="1"/>
  <c r="I46" i="1"/>
  <c r="D61" i="1" s="1"/>
  <c r="F61" i="1" s="1"/>
  <c r="F46" i="1"/>
  <c r="G21" i="3"/>
  <c r="G20" i="3"/>
  <c r="G22" i="3"/>
  <c r="G23" i="3"/>
  <c r="H26" i="3" l="1"/>
  <c r="D38" i="3" s="1"/>
  <c r="F38" i="3" s="1"/>
  <c r="I38" i="3" s="1"/>
  <c r="G26" i="3"/>
  <c r="I26" i="3"/>
  <c r="D39" i="3" s="1"/>
  <c r="F39" i="3" s="1"/>
  <c r="I39" i="3" s="1"/>
  <c r="F26" i="3"/>
  <c r="I61" i="1"/>
  <c r="D35" i="3"/>
  <c r="F35" i="3" s="1"/>
  <c r="I35" i="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<sst xmlns="http://schemas.openxmlformats.org/spreadsheetml/2006/main" count="263" uniqueCount="133">
  <si>
    <t>局部風荷重の算定</t>
    <rPh sb="0" eb="2">
      <t>キョクブ</t>
    </rPh>
    <phoneticPr fontId="4"/>
  </si>
  <si>
    <t>1.一般事項</t>
    <rPh sb="2" eb="4">
      <t>イッパン</t>
    </rPh>
    <rPh sb="4" eb="6">
      <t>ジコウ</t>
    </rPh>
    <phoneticPr fontId="6"/>
  </si>
  <si>
    <t>風圧力</t>
  </si>
  <si>
    <t>(N/m2)</t>
  </si>
  <si>
    <t>W= Cf x q</t>
    <phoneticPr fontId="6"/>
  </si>
  <si>
    <t>Cf ：風力係数</t>
  </si>
  <si>
    <t>q = 0.6 E r^2*( Vo^2)</t>
    <phoneticPr fontId="6"/>
  </si>
  <si>
    <t>q  ：速度圧(N/m2)</t>
  </si>
  <si>
    <t>Vo ：基準風速(m/sec)</t>
  </si>
  <si>
    <t>H≦Zb</t>
  </si>
  <si>
    <t>Er = 1.7 x (Zb/ZG)^α</t>
  </si>
  <si>
    <t>Er ：平均風速の鉛直分布係数</t>
  </si>
  <si>
    <t>H＞Zb</t>
  </si>
  <si>
    <t>Er = 1.7 x (H/ZG)^α</t>
  </si>
  <si>
    <t>Zb , ZG , α：地表面粗度区分から求まる値</t>
  </si>
  <si>
    <t>Zb , ZG , αの値</t>
  </si>
  <si>
    <t>H ：建物高さと軒高の平均値(m)</t>
  </si>
  <si>
    <t>Zb (m)</t>
  </si>
  <si>
    <t>ZG(m)</t>
  </si>
  <si>
    <t>α</t>
  </si>
  <si>
    <t>Ⅰ</t>
  </si>
  <si>
    <t>Ⅱ</t>
  </si>
  <si>
    <t>Ⅲ</t>
  </si>
  <si>
    <t>Ⅳ</t>
  </si>
  <si>
    <t>地表面粗度区分</t>
    <phoneticPr fontId="4"/>
  </si>
  <si>
    <t>Ⅰ：都市計画区域外にあって、極めて平坦で障害物がないものとして特定行政庁が規則で定める区域</t>
  </si>
  <si>
    <t>Ⅱ：都市計画区域外にあって地表面粗度区分Ⅰ以外の区域（建物高さが１３Ｍ以下の場合を除く）</t>
  </si>
  <si>
    <t>都市計画区域内にあって地表面粗度区分Ⅳ以外の区域のうち海岸線までの距離が５００Ｍ以内の区域（建物高さが１３Ｍ以下又は海岸線からの距離が２００Ｍを超えかつ、建物高さが３１Ｍ以下を除く）</t>
    <phoneticPr fontId="4"/>
  </si>
  <si>
    <t>Ⅲ：地表面粗度区分Ⅰ、Ⅱ又は、Ⅳ以外の区域</t>
  </si>
  <si>
    <t>Ⅳ：都市計画区域内にあって、極めて都市化が著しいものとして特定行政庁が規則で定める区域</t>
  </si>
  <si>
    <t>速度圧 q の算定</t>
  </si>
  <si>
    <t>建設地住所：</t>
    <phoneticPr fontId="4"/>
  </si>
  <si>
    <t>熊本県熊本市西区二本木４丁目４３６－３，５４９－１</t>
    <rPh sb="0" eb="3">
      <t>クマモトケン</t>
    </rPh>
    <rPh sb="3" eb="6">
      <t>クマモトシ</t>
    </rPh>
    <rPh sb="6" eb="8">
      <t>ニシク</t>
    </rPh>
    <rPh sb="8" eb="11">
      <t>ニホンギ</t>
    </rPh>
    <rPh sb="12" eb="14">
      <t>チョウメ</t>
    </rPh>
    <phoneticPr fontId="4"/>
  </si>
  <si>
    <t>最高高さ：</t>
    <rPh sb="0" eb="2">
      <t>サイコウ</t>
    </rPh>
    <rPh sb="2" eb="3">
      <t>タカ</t>
    </rPh>
    <phoneticPr fontId="4"/>
  </si>
  <si>
    <t>軒高：</t>
    <rPh sb="0" eb="1">
      <t>ノキ</t>
    </rPh>
    <rPh sb="1" eb="2">
      <t>タカ</t>
    </rPh>
    <phoneticPr fontId="4"/>
  </si>
  <si>
    <t>地表面粗度区分：</t>
    <phoneticPr fontId="4"/>
  </si>
  <si>
    <t>H(m)</t>
  </si>
  <si>
    <t>Zb(m)</t>
  </si>
  <si>
    <t>Er</t>
  </si>
  <si>
    <t>Vo(m/s)</t>
  </si>
  <si>
    <t>q (N/m2)</t>
  </si>
  <si>
    <t>∴</t>
    <phoneticPr fontId="4"/>
  </si>
  <si>
    <t>2.ピーク外圧係数</t>
    <rPh sb="5" eb="7">
      <t>ガイアツ</t>
    </rPh>
    <rPh sb="7" eb="9">
      <t>ケイスウ</t>
    </rPh>
    <phoneticPr fontId="6"/>
  </si>
  <si>
    <t>正のCpe</t>
    <rPh sb="0" eb="1">
      <t>セイ</t>
    </rPh>
    <phoneticPr fontId="6"/>
  </si>
  <si>
    <t>θ</t>
    <phoneticPr fontId="6"/>
  </si>
  <si>
    <t>10度</t>
    <rPh sb="2" eb="3">
      <t>ド</t>
    </rPh>
    <phoneticPr fontId="6"/>
  </si>
  <si>
    <t>30度</t>
    <rPh sb="2" eb="3">
      <t>ド</t>
    </rPh>
    <phoneticPr fontId="6"/>
  </si>
  <si>
    <t>45度</t>
    <rPh sb="2" eb="3">
      <t>ド</t>
    </rPh>
    <phoneticPr fontId="6"/>
  </si>
  <si>
    <t>90度</t>
    <rPh sb="2" eb="3">
      <t>ド</t>
    </rPh>
    <phoneticPr fontId="6"/>
  </si>
  <si>
    <t>屋根高</t>
    <rPh sb="0" eb="2">
      <t>ヤネ</t>
    </rPh>
    <rPh sb="2" eb="3">
      <t>タカ</t>
    </rPh>
    <phoneticPr fontId="6"/>
  </si>
  <si>
    <t>幅</t>
    <rPh sb="0" eb="1">
      <t>ハバ</t>
    </rPh>
    <phoneticPr fontId="6"/>
  </si>
  <si>
    <t>角度</t>
    <rPh sb="0" eb="2">
      <t>カクド</t>
    </rPh>
    <phoneticPr fontId="6"/>
  </si>
  <si>
    <t>Cpe</t>
    <phoneticPr fontId="6"/>
  </si>
  <si>
    <t>Cpe</t>
    <phoneticPr fontId="6"/>
  </si>
  <si>
    <t>正　Gpe</t>
    <rPh sb="0" eb="1">
      <t>セイ</t>
    </rPh>
    <phoneticPr fontId="6"/>
  </si>
  <si>
    <t>H≦5</t>
    <phoneticPr fontId="6"/>
  </si>
  <si>
    <t>40≦H</t>
  </si>
  <si>
    <t>直線補間</t>
  </si>
  <si>
    <t>負　Gpe</t>
    <rPh sb="0" eb="1">
      <t>フ</t>
    </rPh>
    <phoneticPr fontId="6"/>
  </si>
  <si>
    <t>10度以下</t>
    <rPh sb="2" eb="3">
      <t>ド</t>
    </rPh>
    <rPh sb="3" eb="5">
      <t>イカ</t>
    </rPh>
    <phoneticPr fontId="6"/>
  </si>
  <si>
    <t>20度</t>
    <rPh sb="2" eb="3">
      <t>ド</t>
    </rPh>
    <phoneticPr fontId="6"/>
  </si>
  <si>
    <t>30度以上</t>
    <rPh sb="2" eb="3">
      <t>ド</t>
    </rPh>
    <rPh sb="3" eb="5">
      <t>イジョウ</t>
    </rPh>
    <phoneticPr fontId="6"/>
  </si>
  <si>
    <t>Z(m)</t>
    <phoneticPr fontId="6"/>
  </si>
  <si>
    <t>正Gpe</t>
    <rPh sb="0" eb="1">
      <t>セイ</t>
    </rPh>
    <phoneticPr fontId="6"/>
  </si>
  <si>
    <t>負Gpe中</t>
    <rPh sb="0" eb="1">
      <t>フ</t>
    </rPh>
    <rPh sb="4" eb="5">
      <t>チュウ</t>
    </rPh>
    <phoneticPr fontId="6"/>
  </si>
  <si>
    <t>負Gpe端</t>
    <rPh sb="0" eb="1">
      <t>フ</t>
    </rPh>
    <rPh sb="4" eb="5">
      <t>タン</t>
    </rPh>
    <phoneticPr fontId="6"/>
  </si>
  <si>
    <t>負Gpe隅</t>
    <rPh sb="0" eb="1">
      <t>フ</t>
    </rPh>
    <rPh sb="4" eb="5">
      <t>スミ</t>
    </rPh>
    <phoneticPr fontId="6"/>
  </si>
  <si>
    <t>3.ピーク内圧係数</t>
    <rPh sb="5" eb="9">
      <t>ナイアツケイスウ</t>
    </rPh>
    <rPh sb="7" eb="9">
      <t>ケイスウ</t>
    </rPh>
    <phoneticPr fontId="6"/>
  </si>
  <si>
    <t>閉鎖型の建築物</t>
    <rPh sb="0" eb="2">
      <t>ヘイサ</t>
    </rPh>
    <rPh sb="2" eb="3">
      <t>カタ</t>
    </rPh>
    <rPh sb="4" eb="6">
      <t>ケンチク</t>
    </rPh>
    <rPh sb="6" eb="7">
      <t>ブツ</t>
    </rPh>
    <phoneticPr fontId="6"/>
  </si>
  <si>
    <t>ピーク外圧係数が零以上の場合</t>
    <rPh sb="3" eb="5">
      <t>ガイアツ</t>
    </rPh>
    <rPh sb="5" eb="7">
      <t>ケイスウ</t>
    </rPh>
    <rPh sb="8" eb="9">
      <t>ゼロ</t>
    </rPh>
    <rPh sb="9" eb="11">
      <t>イジョウ</t>
    </rPh>
    <rPh sb="12" eb="14">
      <t>バアイ</t>
    </rPh>
    <phoneticPr fontId="6"/>
  </si>
  <si>
    <t>ピーク外圧係数が零未満の場合</t>
    <rPh sb="3" eb="5">
      <t>ガイアツ</t>
    </rPh>
    <rPh sb="5" eb="7">
      <t>ケイスウ</t>
    </rPh>
    <rPh sb="8" eb="9">
      <t>ゼロ</t>
    </rPh>
    <rPh sb="9" eb="11">
      <t>ミマン</t>
    </rPh>
    <rPh sb="12" eb="14">
      <t>バアイ</t>
    </rPh>
    <phoneticPr fontId="6"/>
  </si>
  <si>
    <t>開放型の建築物</t>
    <rPh sb="0" eb="2">
      <t>カイホウ</t>
    </rPh>
    <rPh sb="2" eb="3">
      <t>カタ</t>
    </rPh>
    <rPh sb="4" eb="6">
      <t>ケンチク</t>
    </rPh>
    <rPh sb="6" eb="7">
      <t>ブツ</t>
    </rPh>
    <phoneticPr fontId="6"/>
  </si>
  <si>
    <t>風上開放の場合</t>
    <rPh sb="0" eb="2">
      <t>カザカミ</t>
    </rPh>
    <rPh sb="2" eb="4">
      <t>カイホウ</t>
    </rPh>
    <rPh sb="5" eb="7">
      <t>バアイ</t>
    </rPh>
    <phoneticPr fontId="6"/>
  </si>
  <si>
    <t>風下開放の場合</t>
    <rPh sb="0" eb="2">
      <t>カザシモ</t>
    </rPh>
    <rPh sb="2" eb="4">
      <t>カイホウ</t>
    </rPh>
    <rPh sb="5" eb="7">
      <t>バアイ</t>
    </rPh>
    <phoneticPr fontId="6"/>
  </si>
  <si>
    <t>4.ピーク風力係数，風圧力</t>
    <rPh sb="5" eb="7">
      <t>フウリョク</t>
    </rPh>
    <rPh sb="7" eb="9">
      <t>ケイスウ</t>
    </rPh>
    <rPh sb="10" eb="13">
      <t>フウアツリョク</t>
    </rPh>
    <phoneticPr fontId="6"/>
  </si>
  <si>
    <t>外圧</t>
    <rPh sb="0" eb="2">
      <t>ガイアツ</t>
    </rPh>
    <phoneticPr fontId="6"/>
  </si>
  <si>
    <t>内圧</t>
    <rPh sb="0" eb="2">
      <t>ナイアツ</t>
    </rPh>
    <phoneticPr fontId="6"/>
  </si>
  <si>
    <t>Cｆ</t>
    <phoneticPr fontId="6"/>
  </si>
  <si>
    <t>ｑ</t>
    <phoneticPr fontId="6"/>
  </si>
  <si>
    <t>W=ｑ・Cf</t>
    <phoneticPr fontId="6"/>
  </si>
  <si>
    <t>外圧+-内圧</t>
    <rPh sb="0" eb="2">
      <t>ガイアツ</t>
    </rPh>
    <rPh sb="4" eb="6">
      <t>ナイアツ</t>
    </rPh>
    <phoneticPr fontId="6"/>
  </si>
  <si>
    <t>正（Cpe・Gpe)</t>
    <rPh sb="0" eb="1">
      <t>セイ</t>
    </rPh>
    <phoneticPr fontId="6"/>
  </si>
  <si>
    <t>負（Gpe)中央</t>
    <rPh sb="0" eb="1">
      <t>フ</t>
    </rPh>
    <rPh sb="6" eb="8">
      <t>チュウオウ</t>
    </rPh>
    <phoneticPr fontId="6"/>
  </si>
  <si>
    <t>負（Gpe)端部</t>
    <rPh sb="0" eb="1">
      <t>フ</t>
    </rPh>
    <rPh sb="6" eb="8">
      <t>タンブ</t>
    </rPh>
    <phoneticPr fontId="6"/>
  </si>
  <si>
    <t>負（Gpe)隅</t>
    <rPh sb="0" eb="1">
      <t>フ</t>
    </rPh>
    <rPh sb="6" eb="7">
      <t>スミ</t>
    </rPh>
    <phoneticPr fontId="6"/>
  </si>
  <si>
    <t>負Gpe棟</t>
    <rPh sb="0" eb="1">
      <t>フ</t>
    </rPh>
    <rPh sb="4" eb="5">
      <t>ムネ</t>
    </rPh>
    <phoneticPr fontId="6"/>
  </si>
  <si>
    <t>5＜H＜40</t>
    <phoneticPr fontId="3"/>
  </si>
  <si>
    <t>負（Gpe)棟隅</t>
    <rPh sb="0" eb="1">
      <t>フ</t>
    </rPh>
    <rPh sb="6" eb="7">
      <t>ムネ</t>
    </rPh>
    <rPh sb="7" eb="8">
      <t>スミ</t>
    </rPh>
    <phoneticPr fontId="6"/>
  </si>
  <si>
    <t>福岡県福岡市西区石丸一丁目１０５１番１，１０５２番２</t>
    <phoneticPr fontId="4"/>
  </si>
  <si>
    <t>α</t>
    <phoneticPr fontId="3"/>
  </si>
  <si>
    <t>Gpe</t>
    <phoneticPr fontId="8"/>
  </si>
  <si>
    <t>Ⅲ</t>
    <phoneticPr fontId="8"/>
  </si>
  <si>
    <t>Z(m)</t>
    <phoneticPr fontId="8"/>
  </si>
  <si>
    <t>Cpe</t>
    <phoneticPr fontId="8"/>
  </si>
  <si>
    <t>中央</t>
    <rPh sb="0" eb="2">
      <t>チュウオウ</t>
    </rPh>
    <phoneticPr fontId="8"/>
  </si>
  <si>
    <t>端部</t>
    <rPh sb="0" eb="2">
      <t>タンブ</t>
    </rPh>
    <phoneticPr fontId="8"/>
  </si>
  <si>
    <t>H</t>
    <phoneticPr fontId="6"/>
  </si>
  <si>
    <t>負の外圧係数　-Cpe</t>
    <rPh sb="0" eb="1">
      <t>フ</t>
    </rPh>
    <rPh sb="2" eb="4">
      <t>ガイアツ</t>
    </rPh>
    <rPh sb="4" eb="6">
      <t>ケイスウ</t>
    </rPh>
    <phoneticPr fontId="6"/>
  </si>
  <si>
    <t>正Cpe</t>
    <rPh sb="0" eb="1">
      <t>セイ</t>
    </rPh>
    <phoneticPr fontId="8"/>
  </si>
  <si>
    <t>H≦５</t>
    <phoneticPr fontId="8"/>
  </si>
  <si>
    <t>H&gt;5</t>
    <phoneticPr fontId="8"/>
  </si>
  <si>
    <t>Z≦５</t>
    <phoneticPr fontId="8"/>
  </si>
  <si>
    <t>(5/H)^(2*α)</t>
    <phoneticPr fontId="8"/>
  </si>
  <si>
    <t>(Z/H)^(2*α)</t>
    <phoneticPr fontId="8"/>
  </si>
  <si>
    <t>Z&gt;５</t>
    <phoneticPr fontId="8"/>
  </si>
  <si>
    <t>α</t>
    <phoneticPr fontId="8"/>
  </si>
  <si>
    <t>H≦45</t>
    <phoneticPr fontId="6"/>
  </si>
  <si>
    <t>45＜H＜60</t>
    <phoneticPr fontId="3"/>
  </si>
  <si>
    <t>60≦H</t>
    <phoneticPr fontId="8"/>
  </si>
  <si>
    <t>階数：</t>
    <rPh sb="0" eb="2">
      <t>カイスウ</t>
    </rPh>
    <phoneticPr fontId="8"/>
  </si>
  <si>
    <t>床レベル</t>
  </si>
  <si>
    <t>最高</t>
    <rPh sb="0" eb="2">
      <t>サイコウ</t>
    </rPh>
    <phoneticPr fontId="4"/>
  </si>
  <si>
    <t>軒高</t>
    <rPh sb="0" eb="1">
      <t>ノキ</t>
    </rPh>
    <rPh sb="1" eb="2">
      <t>タカ</t>
    </rPh>
    <phoneticPr fontId="8"/>
  </si>
  <si>
    <t>Cf</t>
    <phoneticPr fontId="8"/>
  </si>
  <si>
    <t>q</t>
    <phoneticPr fontId="4"/>
  </si>
  <si>
    <t>Cf*q</t>
    <phoneticPr fontId="4"/>
  </si>
  <si>
    <t>Gpe</t>
    <phoneticPr fontId="8"/>
  </si>
  <si>
    <t>内圧</t>
    <rPh sb="0" eb="2">
      <t>ナイアツ</t>
    </rPh>
    <phoneticPr fontId="8"/>
  </si>
  <si>
    <t>*</t>
    <phoneticPr fontId="8"/>
  </si>
  <si>
    <t>H=</t>
    <phoneticPr fontId="8"/>
  </si>
  <si>
    <t>5.高さ正風圧</t>
    <rPh sb="2" eb="3">
      <t>タカ</t>
    </rPh>
    <rPh sb="4" eb="5">
      <t>セイ</t>
    </rPh>
    <rPh sb="5" eb="7">
      <t>フウアツ</t>
    </rPh>
    <phoneticPr fontId="8"/>
  </si>
  <si>
    <t>粗度区分</t>
    <phoneticPr fontId="4"/>
  </si>
  <si>
    <t>最高高</t>
  </si>
  <si>
    <t>軒高</t>
  </si>
  <si>
    <t>2F</t>
  </si>
  <si>
    <t>10F</t>
  </si>
  <si>
    <t>9F</t>
  </si>
  <si>
    <t>8F</t>
  </si>
  <si>
    <t>7F</t>
  </si>
  <si>
    <t>6F</t>
  </si>
  <si>
    <t>5F</t>
  </si>
  <si>
    <t>4F</t>
  </si>
  <si>
    <t>3F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</si>
</sst>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
    <numFmt numFmtId="177" formatCode="0.000_ "/>
    <numFmt numFmtId="178" formatCode="0.000_);\(0.000\)"/>
    <numFmt numFmtId="179" formatCode="0_);\(0\)"/>
    <numFmt numFmtId="180" formatCode="0.00_);\(0.00\)"/>
    <numFmt numFmtId="181" formatCode="0.0_ "/>
    <numFmt numFmtId="182" formatCode="0.0000"/>
    <numFmt numFmtId="183" formatCode="0_ "/>
    <numFmt numFmtId="184" formatCode="0.000"/>
    <numFmt numFmtId="185" formatCode="0.000_);[Red]\(0.000\)"/>
    <numFmt numFmtId="186" formatCode="0_);[Red]\(0\)"/>
  </numFmts>
  <fonts count="14" x14ac:knownFonts="1">
    <font>
      <sz val="11"/>
      <color theme="1"/>
      <name val="游ゴシック"/>
      <family val="3"/>
      <charset val="128"/>
      <scheme val="minor"/>
    </font>
    <font>
      <sz val="11"/>
      <name val="ＭＳ Ｐゴシック"/>
      <family val="3"/>
      <charset val="128"/>
    </font>
    <font>
      <sz val="10"/>
      <name val="ＭＳ Ｐ明朝"/>
      <family val="1"/>
      <charset val="128"/>
    </font>
    <font>
      <sz val="6"/>
      <name val="游ゴシック"/>
      <family val="3"/>
      <charset val="128"/>
    </font>
    <font>
      <sz val="18"/>
      <name val="ＭＳ 明朝"/>
      <family val="1"/>
      <charset val="128"/>
    </font>
    <font>
      <sz val="10"/>
      <name val="ＭＳ 明朝"/>
      <family val="1"/>
      <charset val="128"/>
    </font>
    <font>
      <sz val="6"/>
      <name val="ＭＳ Ｐゴシック"/>
      <family val="3"/>
      <charset val="128"/>
    </font>
    <font>
      <b/>
      <sz val="10"/>
      <name val="ＭＳ Ｐ明朝"/>
      <family val="1"/>
      <charset val="128"/>
    </font>
    <font>
      <sz val="6"/>
      <name val="游ゴシック"/>
      <family val="3"/>
      <charset val="128"/>
      <scheme val="minor"/>
    </font>
    <font>
      <sz val="10"/>
      <name val="游ゴシック"/>
      <family val="3"/>
      <charset val="128"/>
      <scheme val="minor"/>
    </font>
    <font>
      <b/>
      <sz val="10"/>
      <name val="游ゴシック"/>
      <family val="3"/>
      <charset val="128"/>
      <scheme val="minor"/>
    </font>
    <font>
      <sz val="10"/>
      <name val="Meiryo UI"/>
      <family val="3"/>
      <charset val="128"/>
    </font>
    <font>
      <b/>
      <sz val="10"/>
      <name val="Meiryo UI"/>
      <family val="3"/>
      <charset val="128"/>
    </font>
    <font>
      <sz val="10"/>
      <color theme="1"/>
      <name val="Meiryo UI"/>
      <family val="3"/>
      <charset val="128"/>
    </font>
  </fonts>
  <fills count="4">
    <fill>
      <patternFill patternType="none"/>
    </fill>
    <fill>
      <patternFill patternType="gray125"/>
    </fill>
    <fill>
      <patternFill patternType="solid">
        <fgColor indexed="41"/>
        <bgColor indexed="64"/>
      </patternFill>
    </fill>
    <fill>
      <patternFill patternType="solid">
        <fgColor indexed="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s>
  <cellStyleXfs count="3">
    <xf numFmtId="0" fontId="0" fillId="0" borderId="0">
      <alignment vertical="center"/>
    </xf>
    <xf numFmtId="0" fontId="5" fillId="0" borderId="0">
      <alignment vertical="center"/>
    </xf>
    <xf numFmtId="0" fontId="1" fillId="0" borderId="0"/>
  </cellStyleXfs>
  <cellXfs count="229">
    <xf numFmtId="0" fontId="0" fillId="0" borderId="0" xfId="0">
      <alignment vertical="center"/>
    </xf>
    <xf numFmtId="0" fontId="2" fillId="0" borderId="0" xfId="2" applyFont="1"/>
    <xf numFmtId="49" fontId="2" fillId="0" borderId="0" xfId="1" applyNumberFormat="1" applyFont="1" applyBorder="1" applyAlignment="1">
      <alignment horizontal="center" vertical="center"/>
    </xf>
    <xf numFmtId="0" fontId="2" fillId="0" borderId="0" xfId="2" applyFont="1" applyAlignment="1">
      <alignment horizontal="right"/>
    </xf>
    <xf numFmtId="0" fontId="2" fillId="0" borderId="0" xfId="2" applyFont="1" applyAlignment="1">
      <alignment horizontal="center"/>
    </xf>
    <xf numFmtId="0" fontId="2" fillId="0" borderId="0" xfId="2" applyFont="1" applyAlignment="1">
      <alignment horizontal="left"/>
    </xf>
    <xf numFmtId="0" fontId="2" fillId="0" borderId="0" xfId="2" applyFont="1" applyBorder="1"/>
    <xf numFmtId="0" fontId="2" fillId="0" borderId="1" xfId="2" applyFont="1" applyBorder="1" applyAlignment="1">
      <alignment horizontal="center"/>
    </xf>
    <xf numFmtId="0" fontId="2" fillId="0" borderId="0" xfId="2" applyFont="1" applyBorder="1" applyAlignment="1">
      <alignment horizontal="center" wrapText="1"/>
    </xf>
    <xf numFmtId="0" fontId="2" fillId="0" borderId="0" xfId="2" applyFont="1" applyBorder="1" applyAlignment="1">
      <alignment horizontal="center" shrinkToFit="1"/>
    </xf>
    <xf numFmtId="2" fontId="2" fillId="0" borderId="1" xfId="2" applyNumberFormat="1" applyFont="1" applyBorder="1" applyAlignment="1">
      <alignment horizontal="center"/>
    </xf>
    <xf numFmtId="0" fontId="2" fillId="0" borderId="0" xfId="2" applyFont="1" applyBorder="1" applyAlignment="1">
      <alignment horizontal="center"/>
    </xf>
    <xf numFmtId="176" fontId="2" fillId="0" borderId="0" xfId="2" applyNumberFormat="1" applyFont="1" applyBorder="1" applyAlignment="1">
      <alignment horizontal="center"/>
    </xf>
    <xf numFmtId="0" fontId="2" fillId="0" borderId="0" xfId="2" applyFont="1" applyAlignment="1"/>
    <xf numFmtId="0" fontId="0" fillId="0" borderId="0" xfId="0" applyAlignment="1">
      <alignment horizontal="left" vertical="center"/>
    </xf>
    <xf numFmtId="0" fontId="2" fillId="0" borderId="0" xfId="2" applyFont="1" applyFill="1" applyProtection="1">
      <protection locked="0"/>
    </xf>
    <xf numFmtId="0" fontId="2" fillId="0" borderId="0" xfId="2" applyFont="1" applyFill="1"/>
    <xf numFmtId="0" fontId="2" fillId="0" borderId="0" xfId="2" applyFont="1" applyFill="1" applyBorder="1" applyAlignment="1">
      <alignment horizontal="right"/>
    </xf>
    <xf numFmtId="0" fontId="2" fillId="2" borderId="0" xfId="2" applyFont="1" applyFill="1" applyBorder="1" applyAlignment="1" applyProtection="1">
      <alignment horizontal="left"/>
      <protection locked="0"/>
    </xf>
    <xf numFmtId="177" fontId="2" fillId="2" borderId="0" xfId="2" applyNumberFormat="1" applyFont="1" applyFill="1" applyBorder="1" applyAlignment="1" applyProtection="1">
      <alignment horizontal="center"/>
      <protection locked="0"/>
    </xf>
    <xf numFmtId="176" fontId="2" fillId="0" borderId="0" xfId="2" applyNumberFormat="1" applyFont="1" applyBorder="1"/>
    <xf numFmtId="0" fontId="2" fillId="2" borderId="0" xfId="2" applyFont="1" applyFill="1" applyProtection="1">
      <protection locked="0"/>
    </xf>
    <xf numFmtId="0" fontId="2" fillId="0" borderId="1" xfId="2" applyFont="1" applyFill="1" applyBorder="1" applyAlignment="1">
      <alignment horizontal="center"/>
    </xf>
    <xf numFmtId="0" fontId="2" fillId="2" borderId="1" xfId="2" applyFont="1" applyFill="1" applyBorder="1" applyAlignment="1">
      <alignment horizontal="center"/>
    </xf>
    <xf numFmtId="178" fontId="2" fillId="2" borderId="1" xfId="2" applyNumberFormat="1" applyFont="1" applyFill="1" applyBorder="1" applyAlignment="1" applyProtection="1">
      <alignment horizontal="right"/>
      <protection locked="0"/>
    </xf>
    <xf numFmtId="179" fontId="2" fillId="0" borderId="1" xfId="2" applyNumberFormat="1" applyFont="1" applyBorder="1" applyAlignment="1">
      <alignment horizontal="right"/>
    </xf>
    <xf numFmtId="180" fontId="2" fillId="0" borderId="1" xfId="2" applyNumberFormat="1" applyFont="1" applyBorder="1" applyAlignment="1">
      <alignment horizontal="right"/>
    </xf>
    <xf numFmtId="178" fontId="2" fillId="0" borderId="1" xfId="2" applyNumberFormat="1" applyFont="1" applyBorder="1" applyAlignment="1">
      <alignment horizontal="right"/>
    </xf>
    <xf numFmtId="179" fontId="2" fillId="2" borderId="1" xfId="2" applyNumberFormat="1" applyFont="1" applyFill="1" applyBorder="1" applyAlignment="1" applyProtection="1">
      <alignment horizontal="right"/>
      <protection locked="0"/>
    </xf>
    <xf numFmtId="178" fontId="2" fillId="0" borderId="0" xfId="2" applyNumberFormat="1" applyFont="1" applyBorder="1" applyAlignment="1">
      <alignment horizontal="right"/>
    </xf>
    <xf numFmtId="176" fontId="2" fillId="0" borderId="0" xfId="2" applyNumberFormat="1" applyFont="1" applyAlignment="1">
      <alignment horizontal="center"/>
    </xf>
    <xf numFmtId="0" fontId="2" fillId="0" borderId="0" xfId="2" applyFont="1" applyFill="1" applyBorder="1" applyAlignment="1">
      <alignment horizontal="left"/>
    </xf>
    <xf numFmtId="0" fontId="2" fillId="0" borderId="1" xfId="2" applyFont="1" applyBorder="1" applyAlignment="1">
      <alignment horizontal="center" shrinkToFit="1"/>
    </xf>
    <xf numFmtId="176" fontId="2" fillId="0" borderId="1" xfId="2" applyNumberFormat="1" applyFont="1" applyBorder="1" applyAlignment="1">
      <alignment horizontal="center"/>
    </xf>
    <xf numFmtId="181" fontId="2" fillId="0" borderId="0" xfId="2" applyNumberFormat="1" applyFont="1"/>
    <xf numFmtId="182" fontId="2" fillId="0" borderId="0" xfId="2" applyNumberFormat="1" applyFont="1"/>
    <xf numFmtId="178" fontId="2" fillId="0" borderId="1" xfId="2" applyNumberFormat="1" applyFont="1" applyBorder="1" applyAlignment="1">
      <alignment horizontal="center"/>
    </xf>
    <xf numFmtId="177" fontId="2" fillId="0" borderId="1" xfId="2" applyNumberFormat="1" applyFont="1" applyBorder="1" applyAlignment="1">
      <alignment horizontal="right"/>
    </xf>
    <xf numFmtId="0" fontId="2" fillId="0" borderId="1" xfId="2" applyFont="1" applyBorder="1" applyAlignment="1"/>
    <xf numFmtId="0" fontId="2" fillId="0" borderId="1" xfId="2" applyFont="1" applyBorder="1"/>
    <xf numFmtId="183" fontId="2" fillId="0" borderId="1" xfId="2" quotePrefix="1" applyNumberFormat="1" applyFont="1" applyBorder="1"/>
    <xf numFmtId="0" fontId="2" fillId="0" borderId="5" xfId="2" applyFont="1" applyBorder="1"/>
    <xf numFmtId="184" fontId="2" fillId="0" borderId="1" xfId="2" applyNumberFormat="1" applyFont="1" applyBorder="1"/>
    <xf numFmtId="179" fontId="2" fillId="0" borderId="1" xfId="2" applyNumberFormat="1" applyFont="1" applyBorder="1"/>
    <xf numFmtId="179" fontId="7" fillId="0" borderId="0" xfId="2" applyNumberFormat="1" applyFont="1" applyFill="1" applyBorder="1" applyAlignment="1" applyProtection="1">
      <alignment horizontal="right"/>
      <protection locked="0"/>
    </xf>
    <xf numFmtId="2" fontId="2" fillId="0" borderId="1" xfId="2" applyNumberFormat="1" applyFont="1" applyBorder="1"/>
    <xf numFmtId="0" fontId="2" fillId="0" borderId="6" xfId="2" applyFont="1" applyBorder="1" applyAlignment="1">
      <alignment vertical="center"/>
    </xf>
    <xf numFmtId="0" fontId="2" fillId="0" borderId="10" xfId="2" applyFont="1" applyBorder="1" applyAlignment="1">
      <alignment vertical="center"/>
    </xf>
    <xf numFmtId="0" fontId="9" fillId="0" borderId="0" xfId="2" applyFont="1"/>
    <xf numFmtId="49" fontId="9" fillId="0" borderId="0" xfId="1" applyNumberFormat="1" applyFont="1" applyBorder="1" applyAlignment="1">
      <alignment horizontal="center" vertical="center"/>
    </xf>
    <xf numFmtId="0" fontId="0" fillId="0" borderId="0" xfId="0" applyFont="1">
      <alignment vertical="center"/>
    </xf>
    <xf numFmtId="0" fontId="9" fillId="0" borderId="0" xfId="2" applyFont="1" applyFill="1" applyProtection="1">
      <protection locked="0"/>
    </xf>
    <xf numFmtId="0" fontId="9" fillId="0" borderId="0" xfId="2" applyFont="1" applyFill="1"/>
    <xf numFmtId="0" fontId="9" fillId="0" borderId="0" xfId="2" applyFont="1" applyFill="1" applyBorder="1" applyAlignment="1">
      <alignment horizontal="right"/>
    </xf>
    <xf numFmtId="0" fontId="9" fillId="2" borderId="0" xfId="2" applyFont="1" applyFill="1" applyBorder="1" applyAlignment="1" applyProtection="1">
      <alignment horizontal="left"/>
      <protection locked="0"/>
    </xf>
    <xf numFmtId="177" fontId="9" fillId="2" borderId="0" xfId="2" applyNumberFormat="1" applyFont="1" applyFill="1" applyBorder="1" applyAlignment="1" applyProtection="1">
      <alignment horizontal="center"/>
      <protection locked="0"/>
    </xf>
    <xf numFmtId="0" fontId="9" fillId="0" borderId="0" xfId="2" applyFont="1" applyBorder="1" applyAlignment="1">
      <alignment horizontal="center"/>
    </xf>
    <xf numFmtId="0" fontId="9" fillId="2" borderId="0" xfId="2" applyFont="1" applyFill="1" applyProtection="1">
      <protection locked="0"/>
    </xf>
    <xf numFmtId="0" fontId="9" fillId="0" borderId="0" xfId="2" applyFont="1" applyAlignment="1">
      <alignment horizontal="right"/>
    </xf>
    <xf numFmtId="0" fontId="9" fillId="0" borderId="0" xfId="2" applyFont="1" applyAlignment="1">
      <alignment horizontal="center"/>
    </xf>
    <xf numFmtId="0" fontId="9" fillId="0" borderId="1" xfId="2" applyFont="1" applyFill="1" applyBorder="1" applyAlignment="1">
      <alignment horizontal="center"/>
    </xf>
    <xf numFmtId="0" fontId="9" fillId="0" borderId="1" xfId="2" applyFont="1" applyBorder="1" applyAlignment="1">
      <alignment horizontal="center"/>
    </xf>
    <xf numFmtId="0" fontId="9" fillId="2" borderId="1" xfId="2" applyFont="1" applyFill="1" applyBorder="1" applyAlignment="1">
      <alignment horizontal="center"/>
    </xf>
    <xf numFmtId="178" fontId="9" fillId="0" borderId="0" xfId="2" applyNumberFormat="1" applyFont="1" applyBorder="1" applyAlignment="1">
      <alignment horizontal="right"/>
    </xf>
    <xf numFmtId="178" fontId="9" fillId="2" borderId="1" xfId="2" applyNumberFormat="1" applyFont="1" applyFill="1" applyBorder="1" applyAlignment="1" applyProtection="1">
      <alignment horizontal="right"/>
      <protection locked="0"/>
    </xf>
    <xf numFmtId="179" fontId="9" fillId="0" borderId="1" xfId="2" applyNumberFormat="1" applyFont="1" applyBorder="1" applyAlignment="1">
      <alignment horizontal="right"/>
    </xf>
    <xf numFmtId="180" fontId="9" fillId="0" borderId="1" xfId="2" applyNumberFormat="1" applyFont="1" applyBorder="1" applyAlignment="1">
      <alignment horizontal="right"/>
    </xf>
    <xf numFmtId="178" fontId="9" fillId="0" borderId="1" xfId="2" applyNumberFormat="1" applyFont="1" applyBorder="1" applyAlignment="1">
      <alignment horizontal="right"/>
    </xf>
    <xf numFmtId="179" fontId="9" fillId="2" borderId="1" xfId="2" applyNumberFormat="1" applyFont="1" applyFill="1" applyBorder="1" applyAlignment="1" applyProtection="1">
      <alignment horizontal="right"/>
      <protection locked="0"/>
    </xf>
    <xf numFmtId="179" fontId="10" fillId="0" borderId="0" xfId="2" applyNumberFormat="1" applyFont="1" applyFill="1" applyBorder="1" applyAlignment="1" applyProtection="1">
      <alignment horizontal="right"/>
      <protection locked="0"/>
    </xf>
    <xf numFmtId="176" fontId="9" fillId="0" borderId="1" xfId="2" applyNumberFormat="1" applyFont="1" applyBorder="1" applyAlignment="1">
      <alignment horizontal="center"/>
    </xf>
    <xf numFmtId="0" fontId="9" fillId="0" borderId="0" xfId="2" applyFont="1" applyFill="1" applyBorder="1" applyAlignment="1">
      <alignment horizontal="left"/>
    </xf>
    <xf numFmtId="176" fontId="9" fillId="0" borderId="0" xfId="2" applyNumberFormat="1" applyFont="1" applyAlignment="1">
      <alignment horizontal="center"/>
    </xf>
    <xf numFmtId="0" fontId="9" fillId="0" borderId="1" xfId="2" applyFont="1" applyBorder="1" applyAlignment="1">
      <alignment horizontal="center" shrinkToFit="1"/>
    </xf>
    <xf numFmtId="181" fontId="9" fillId="0" borderId="0" xfId="2" applyNumberFormat="1" applyFont="1"/>
    <xf numFmtId="184" fontId="9" fillId="0" borderId="0" xfId="2" applyNumberFormat="1" applyFont="1" applyAlignment="1">
      <alignment horizontal="left"/>
    </xf>
    <xf numFmtId="182" fontId="9" fillId="0" borderId="0" xfId="2" applyNumberFormat="1" applyFont="1"/>
    <xf numFmtId="2" fontId="9" fillId="0" borderId="1" xfId="2" applyNumberFormat="1" applyFont="1" applyBorder="1" applyAlignment="1">
      <alignment horizontal="center"/>
    </xf>
    <xf numFmtId="176" fontId="9" fillId="0" borderId="0" xfId="2" applyNumberFormat="1" applyFont="1" applyBorder="1" applyAlignment="1">
      <alignment horizontal="center"/>
    </xf>
    <xf numFmtId="178" fontId="9" fillId="0" borderId="1" xfId="2" applyNumberFormat="1" applyFont="1" applyBorder="1" applyAlignment="1">
      <alignment horizontal="center"/>
    </xf>
    <xf numFmtId="177" fontId="9" fillId="0" borderId="1" xfId="2" applyNumberFormat="1" applyFont="1" applyBorder="1" applyAlignment="1">
      <alignment horizontal="right"/>
    </xf>
    <xf numFmtId="2" fontId="9" fillId="0" borderId="1" xfId="2" applyNumberFormat="1" applyFont="1" applyBorder="1"/>
    <xf numFmtId="0" fontId="9" fillId="0" borderId="1" xfId="2" applyFont="1" applyBorder="1" applyAlignment="1"/>
    <xf numFmtId="0" fontId="9" fillId="0" borderId="1" xfId="2" applyFont="1" applyBorder="1"/>
    <xf numFmtId="183" fontId="9" fillId="0" borderId="1" xfId="2" quotePrefix="1" applyNumberFormat="1" applyFont="1" applyBorder="1"/>
    <xf numFmtId="0" fontId="9" fillId="0" borderId="5" xfId="2" applyFont="1" applyBorder="1"/>
    <xf numFmtId="0" fontId="9" fillId="0" borderId="6" xfId="2" applyFont="1" applyBorder="1" applyAlignment="1">
      <alignment vertical="center"/>
    </xf>
    <xf numFmtId="0" fontId="9" fillId="0" borderId="10" xfId="2" applyFont="1" applyBorder="1" applyAlignment="1">
      <alignment vertical="center"/>
    </xf>
    <xf numFmtId="184" fontId="9" fillId="0" borderId="1" xfId="2" applyNumberFormat="1" applyFont="1" applyBorder="1"/>
    <xf numFmtId="179" fontId="9" fillId="0" borderId="1" xfId="2" applyNumberFormat="1" applyFont="1" applyBorder="1"/>
    <xf numFmtId="0" fontId="11" fillId="0" borderId="0" xfId="2" applyFont="1"/>
    <xf numFmtId="49" fontId="11" fillId="0" borderId="0" xfId="1" applyNumberFormat="1" applyFont="1" applyBorder="1" applyAlignment="1">
      <alignment horizontal="center" vertical="center"/>
    </xf>
    <xf numFmtId="0" fontId="11" fillId="0" borderId="0" xfId="2" applyFont="1" applyFill="1" applyProtection="1">
      <protection locked="0"/>
    </xf>
    <xf numFmtId="0" fontId="11" fillId="0" borderId="0" xfId="2" applyFont="1" applyFill="1"/>
    <xf numFmtId="0" fontId="11" fillId="0" borderId="0" xfId="2" applyFont="1" applyFill="1" applyBorder="1" applyAlignment="1">
      <alignment horizontal="right"/>
    </xf>
    <xf numFmtId="0" fontId="11" fillId="2" borderId="0" xfId="2" applyFont="1" applyFill="1" applyBorder="1" applyAlignment="1" applyProtection="1">
      <alignment horizontal="left"/>
      <protection locked="0"/>
    </xf>
    <xf numFmtId="177" fontId="11" fillId="2" borderId="0" xfId="2" applyNumberFormat="1" applyFont="1" applyFill="1" applyBorder="1" applyAlignment="1" applyProtection="1">
      <alignment horizontal="center"/>
      <protection locked="0"/>
    </xf>
    <xf numFmtId="0" fontId="11" fillId="0" borderId="0" xfId="2" applyFont="1" applyBorder="1" applyAlignment="1">
      <alignment horizontal="center"/>
    </xf>
    <xf numFmtId="0" fontId="11" fillId="0" borderId="0" xfId="2" applyFont="1" applyAlignment="1">
      <alignment horizontal="right"/>
    </xf>
    <xf numFmtId="0" fontId="11" fillId="0" borderId="0" xfId="2" applyFont="1" applyAlignment="1">
      <alignment horizontal="center"/>
    </xf>
    <xf numFmtId="0" fontId="11" fillId="0" borderId="1" xfId="2" applyFont="1" applyBorder="1" applyAlignment="1">
      <alignment horizontal="center"/>
    </xf>
    <xf numFmtId="178" fontId="11" fillId="0" borderId="0" xfId="2" applyNumberFormat="1" applyFont="1" applyBorder="1" applyAlignment="1">
      <alignment horizontal="right"/>
    </xf>
    <xf numFmtId="178" fontId="11" fillId="2" borderId="1" xfId="2" applyNumberFormat="1" applyFont="1" applyFill="1" applyBorder="1" applyAlignment="1" applyProtection="1">
      <alignment horizontal="right"/>
      <protection locked="0"/>
    </xf>
    <xf numFmtId="179" fontId="11" fillId="0" borderId="1" xfId="2" applyNumberFormat="1" applyFont="1" applyBorder="1" applyAlignment="1">
      <alignment horizontal="right"/>
    </xf>
    <xf numFmtId="178" fontId="11" fillId="0" borderId="1" xfId="2" applyNumberFormat="1" applyFont="1" applyBorder="1" applyAlignment="1">
      <alignment horizontal="right"/>
    </xf>
    <xf numFmtId="179" fontId="11" fillId="2" borderId="1" xfId="2" applyNumberFormat="1" applyFont="1" applyFill="1" applyBorder="1" applyAlignment="1" applyProtection="1">
      <alignment horizontal="right"/>
      <protection locked="0"/>
    </xf>
    <xf numFmtId="179" fontId="12" fillId="0" borderId="0" xfId="2" applyNumberFormat="1" applyFont="1" applyFill="1" applyBorder="1" applyAlignment="1" applyProtection="1">
      <alignment horizontal="right"/>
      <protection locked="0"/>
    </xf>
    <xf numFmtId="177" fontId="11" fillId="0" borderId="0" xfId="2" applyNumberFormat="1" applyFont="1" applyBorder="1" applyAlignment="1">
      <alignment horizontal="right"/>
    </xf>
    <xf numFmtId="2" fontId="11" fillId="0" borderId="0" xfId="2" applyNumberFormat="1" applyFont="1" applyBorder="1"/>
    <xf numFmtId="178" fontId="11" fillId="0" borderId="1" xfId="2" applyNumberFormat="1" applyFont="1" applyBorder="1" applyAlignment="1">
      <alignment horizontal="center"/>
    </xf>
    <xf numFmtId="0" fontId="11" fillId="0" borderId="0" xfId="2" applyFont="1" applyFill="1" applyBorder="1" applyAlignment="1">
      <alignment horizontal="left"/>
    </xf>
    <xf numFmtId="176" fontId="11" fillId="0" borderId="0" xfId="2" applyNumberFormat="1" applyFont="1" applyAlignment="1">
      <alignment horizontal="center"/>
    </xf>
    <xf numFmtId="0" fontId="11" fillId="0" borderId="1" xfId="2" applyFont="1" applyBorder="1" applyAlignment="1">
      <alignment horizontal="center" shrinkToFit="1"/>
    </xf>
    <xf numFmtId="0" fontId="11" fillId="0" borderId="1" xfId="2" applyFont="1" applyBorder="1"/>
    <xf numFmtId="176" fontId="11" fillId="0" borderId="1" xfId="2" applyNumberFormat="1" applyFont="1" applyBorder="1" applyAlignment="1">
      <alignment horizontal="center"/>
    </xf>
    <xf numFmtId="181" fontId="11" fillId="0" borderId="0" xfId="2" applyNumberFormat="1" applyFont="1"/>
    <xf numFmtId="182" fontId="11" fillId="0" borderId="0" xfId="2" applyNumberFormat="1" applyFont="1"/>
    <xf numFmtId="176" fontId="11" fillId="0" borderId="0" xfId="2" applyNumberFormat="1" applyFont="1" applyBorder="1" applyAlignment="1">
      <alignment horizontal="center"/>
    </xf>
    <xf numFmtId="0" fontId="11" fillId="0" borderId="1" xfId="2" applyFont="1" applyBorder="1" applyAlignment="1"/>
    <xf numFmtId="183" fontId="11" fillId="0" borderId="1" xfId="2" quotePrefix="1" applyNumberFormat="1" applyFont="1" applyBorder="1"/>
    <xf numFmtId="0" fontId="11" fillId="0" borderId="5" xfId="2" applyFont="1" applyBorder="1"/>
    <xf numFmtId="0" fontId="11" fillId="0" borderId="6" xfId="2" applyFont="1" applyBorder="1" applyAlignment="1">
      <alignment vertical="center"/>
    </xf>
    <xf numFmtId="0" fontId="11" fillId="0" borderId="10" xfId="2" applyFont="1" applyBorder="1" applyAlignment="1">
      <alignment vertical="center"/>
    </xf>
    <xf numFmtId="184" fontId="11" fillId="0" borderId="1" xfId="2" applyNumberFormat="1" applyFont="1" applyBorder="1"/>
    <xf numFmtId="179" fontId="11" fillId="0" borderId="1" xfId="2" applyNumberFormat="1" applyFont="1" applyBorder="1"/>
    <xf numFmtId="0" fontId="11" fillId="0" borderId="2" xfId="2" applyFont="1" applyBorder="1" applyAlignment="1">
      <alignment horizontal="center" wrapText="1"/>
    </xf>
    <xf numFmtId="0" fontId="11" fillId="0" borderId="2" xfId="2" applyFont="1" applyBorder="1" applyAlignment="1">
      <alignment horizontal="center"/>
    </xf>
    <xf numFmtId="0" fontId="11" fillId="0" borderId="1" xfId="2" applyFont="1" applyFill="1" applyBorder="1" applyAlignment="1">
      <alignment horizontal="center" shrinkToFit="1"/>
    </xf>
    <xf numFmtId="184" fontId="11" fillId="0" borderId="1" xfId="2" applyNumberFormat="1" applyFont="1" applyBorder="1" applyAlignment="1">
      <alignment horizontal="center"/>
    </xf>
    <xf numFmtId="0" fontId="13" fillId="0" borderId="0" xfId="0" applyFont="1">
      <alignment vertical="center"/>
    </xf>
    <xf numFmtId="0" fontId="13" fillId="0" borderId="0" xfId="0" applyFont="1" applyAlignment="1">
      <alignment horizontal="center" vertical="center"/>
    </xf>
    <xf numFmtId="180" fontId="11" fillId="0" borderId="1" xfId="2" applyNumberFormat="1" applyFont="1" applyBorder="1" applyAlignment="1">
      <alignment horizontal="center"/>
    </xf>
    <xf numFmtId="178" fontId="11" fillId="0" borderId="1" xfId="2" applyNumberFormat="1" applyFont="1" applyBorder="1" applyAlignment="1">
      <alignment horizontal="center" shrinkToFit="1"/>
    </xf>
    <xf numFmtId="178" fontId="11" fillId="3" borderId="1" xfId="2" applyNumberFormat="1" applyFont="1" applyFill="1" applyBorder="1" applyAlignment="1" applyProtection="1">
      <alignment horizontal="center"/>
      <protection locked="0"/>
    </xf>
    <xf numFmtId="185" fontId="11" fillId="3" borderId="1" xfId="2" applyNumberFormat="1" applyFont="1" applyFill="1" applyBorder="1" applyAlignment="1" applyProtection="1">
      <alignment horizontal="center"/>
      <protection locked="0"/>
    </xf>
    <xf numFmtId="0" fontId="13" fillId="0" borderId="1" xfId="0" applyFont="1" applyBorder="1" applyAlignment="1">
      <alignment horizontal="center" vertical="center"/>
    </xf>
    <xf numFmtId="0" fontId="11" fillId="2" borderId="1" xfId="2" applyFont="1" applyFill="1" applyBorder="1" applyAlignment="1">
      <alignment horizontal="center" shrinkToFit="1"/>
    </xf>
    <xf numFmtId="179" fontId="11" fillId="0" borderId="0" xfId="2" applyNumberFormat="1" applyFont="1"/>
    <xf numFmtId="178" fontId="13" fillId="0" borderId="0" xfId="0" applyNumberFormat="1" applyFont="1">
      <alignment vertical="center"/>
    </xf>
    <xf numFmtId="0" fontId="13" fillId="0" borderId="0" xfId="0" applyFont="1" applyAlignment="1">
      <alignment horizontal="center"/>
    </xf>
    <xf numFmtId="185" fontId="11" fillId="0" borderId="1" xfId="2" applyNumberFormat="1" applyFont="1" applyBorder="1" applyAlignment="1">
      <alignment horizontal="center"/>
    </xf>
    <xf numFmtId="185" fontId="11" fillId="0" borderId="0" xfId="2" applyNumberFormat="1" applyFont="1" applyAlignment="1">
      <alignment horizontal="center"/>
    </xf>
    <xf numFmtId="181" fontId="11" fillId="0" borderId="0" xfId="2" applyNumberFormat="1" applyFont="1" applyAlignment="1">
      <alignment horizontal="center"/>
    </xf>
    <xf numFmtId="186" fontId="11" fillId="0" borderId="1" xfId="2" applyNumberFormat="1" applyFont="1" applyBorder="1" applyAlignment="1">
      <alignment horizontal="center"/>
    </xf>
    <xf numFmtId="186" fontId="11" fillId="0" borderId="0" xfId="2" applyNumberFormat="1" applyFont="1" applyAlignment="1">
      <alignment horizontal="center"/>
    </xf>
    <xf numFmtId="179" fontId="11" fillId="0" borderId="0" xfId="2" applyNumberFormat="1" applyFont="1" applyAlignment="1">
      <alignment horizontal="right"/>
    </xf>
    <xf numFmtId="178" fontId="13" fillId="0" borderId="0" xfId="0" applyNumberFormat="1" applyFont="1" applyAlignment="1">
      <alignment horizontal="left"/>
    </xf>
    <xf numFmtId="0" fontId="11" fillId="0" borderId="0" xfId="2" applyFont="1" applyBorder="1"/>
    <xf numFmtId="0" fontId="11" fillId="0" borderId="1" xfId="2" applyFont="1" applyBorder="1" applyAlignment="1">
      <alignment horizontal="center"/>
    </xf>
    <xf numFmtId="0" fontId="11" fillId="0" borderId="6" xfId="2" applyFont="1" applyBorder="1" applyAlignment="1">
      <alignment horizontal="center"/>
    </xf>
    <xf numFmtId="0" fontId="11" fillId="0" borderId="8" xfId="2" applyFont="1" applyBorder="1" applyAlignment="1">
      <alignment horizontal="center"/>
    </xf>
    <xf numFmtId="0" fontId="11" fillId="0" borderId="10" xfId="2" applyFont="1" applyBorder="1" applyAlignment="1">
      <alignment horizontal="center"/>
    </xf>
    <xf numFmtId="0" fontId="11" fillId="0" borderId="5" xfId="2" applyFont="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4" xfId="0" applyFont="1" applyBorder="1" applyAlignment="1">
      <alignment horizontal="center" vertical="center"/>
    </xf>
    <xf numFmtId="0" fontId="11" fillId="0" borderId="2" xfId="2" applyFont="1" applyBorder="1" applyAlignment="1">
      <alignment horizontal="center"/>
    </xf>
    <xf numFmtId="0" fontId="11" fillId="0" borderId="4" xfId="2" applyFont="1" applyBorder="1" applyAlignment="1">
      <alignment horizontal="center"/>
    </xf>
    <xf numFmtId="0" fontId="11" fillId="0" borderId="1" xfId="2" applyFont="1" applyBorder="1" applyAlignment="1">
      <alignment horizontal="center"/>
    </xf>
    <xf numFmtId="0" fontId="11" fillId="0" borderId="3" xfId="2" applyFont="1" applyBorder="1" applyAlignment="1">
      <alignment horizontal="center"/>
    </xf>
    <xf numFmtId="0" fontId="11" fillId="0" borderId="6" xfId="2" applyFont="1" applyBorder="1" applyAlignment="1">
      <alignment horizontal="center" vertical="center"/>
    </xf>
    <xf numFmtId="0" fontId="11" fillId="0" borderId="7" xfId="2" applyFont="1" applyBorder="1" applyAlignment="1">
      <alignment horizontal="center" vertical="center"/>
    </xf>
    <xf numFmtId="0" fontId="11" fillId="0" borderId="8" xfId="2" applyFont="1" applyBorder="1" applyAlignment="1">
      <alignment horizontal="center" vertical="center"/>
    </xf>
    <xf numFmtId="0" fontId="11" fillId="0" borderId="10" xfId="2" applyFont="1" applyBorder="1" applyAlignment="1">
      <alignment horizontal="center" vertical="center"/>
    </xf>
    <xf numFmtId="0" fontId="11" fillId="0" borderId="11" xfId="2" applyFont="1" applyBorder="1" applyAlignment="1">
      <alignment horizontal="center" vertical="center"/>
    </xf>
    <xf numFmtId="0" fontId="11" fillId="0" borderId="5" xfId="2" applyFont="1" applyBorder="1" applyAlignment="1">
      <alignment horizontal="center" vertical="center"/>
    </xf>
    <xf numFmtId="0" fontId="11" fillId="0" borderId="9" xfId="2" applyFont="1" applyBorder="1" applyAlignment="1">
      <alignment horizontal="center"/>
    </xf>
    <xf numFmtId="184" fontId="11" fillId="0" borderId="1" xfId="2" applyNumberFormat="1" applyFont="1" applyBorder="1" applyAlignment="1">
      <alignment horizontal="center"/>
    </xf>
    <xf numFmtId="1" fontId="11" fillId="0" borderId="1" xfId="2" applyNumberFormat="1" applyFont="1" applyBorder="1" applyAlignment="1">
      <alignment horizontal="center"/>
    </xf>
    <xf numFmtId="0" fontId="11" fillId="0" borderId="1" xfId="2" applyFont="1" applyBorder="1" applyAlignment="1">
      <alignment horizontal="center" vertical="center"/>
    </xf>
    <xf numFmtId="0" fontId="11" fillId="0" borderId="12" xfId="2" applyFont="1" applyBorder="1" applyAlignment="1">
      <alignment horizontal="center"/>
    </xf>
    <xf numFmtId="0" fontId="9" fillId="0" borderId="2" xfId="2" applyFont="1" applyBorder="1" applyAlignment="1">
      <alignment horizontal="left"/>
    </xf>
    <xf numFmtId="0" fontId="9" fillId="0" borderId="4" xfId="2" applyFont="1" applyBorder="1" applyAlignment="1">
      <alignment horizontal="left"/>
    </xf>
    <xf numFmtId="184" fontId="9" fillId="0" borderId="1" xfId="2" applyNumberFormat="1" applyFont="1" applyBorder="1" applyAlignment="1">
      <alignment horizontal="center"/>
    </xf>
    <xf numFmtId="0" fontId="9" fillId="0" borderId="1" xfId="2" applyFont="1" applyBorder="1" applyAlignment="1">
      <alignment horizontal="center"/>
    </xf>
    <xf numFmtId="1" fontId="9" fillId="0" borderId="1" xfId="2" applyNumberFormat="1" applyFont="1" applyBorder="1" applyAlignment="1">
      <alignment horizontal="center"/>
    </xf>
    <xf numFmtId="0" fontId="9" fillId="0" borderId="1" xfId="2" applyFont="1" applyBorder="1" applyAlignment="1">
      <alignment horizontal="center" vertical="center"/>
    </xf>
    <xf numFmtId="0" fontId="9" fillId="0" borderId="12" xfId="2" applyFont="1" applyBorder="1" applyAlignment="1">
      <alignment horizontal="center"/>
    </xf>
    <xf numFmtId="0" fontId="9" fillId="0" borderId="6" xfId="2" applyFont="1" applyBorder="1" applyAlignment="1">
      <alignment horizontal="center" vertical="center"/>
    </xf>
    <xf numFmtId="0" fontId="9" fillId="0" borderId="7" xfId="2" applyFont="1" applyBorder="1" applyAlignment="1">
      <alignment horizontal="center" vertical="center"/>
    </xf>
    <xf numFmtId="0" fontId="9" fillId="0" borderId="8" xfId="2" applyFont="1" applyBorder="1" applyAlignment="1">
      <alignment horizontal="center" vertical="center"/>
    </xf>
    <xf numFmtId="0" fontId="9" fillId="0" borderId="10" xfId="2" applyFont="1" applyBorder="1" applyAlignment="1">
      <alignment horizontal="center" vertical="center"/>
    </xf>
    <xf numFmtId="0" fontId="9" fillId="0" borderId="11" xfId="2" applyFont="1" applyBorder="1" applyAlignment="1">
      <alignment horizontal="center" vertical="center"/>
    </xf>
    <xf numFmtId="0" fontId="9" fillId="0" borderId="5" xfId="2" applyFont="1" applyBorder="1" applyAlignment="1">
      <alignment horizontal="center" vertical="center"/>
    </xf>
    <xf numFmtId="0" fontId="9" fillId="0" borderId="9" xfId="2" applyFont="1" applyBorder="1" applyAlignment="1">
      <alignment horizontal="center"/>
    </xf>
    <xf numFmtId="0" fontId="9" fillId="0" borderId="2" xfId="2" applyFont="1" applyBorder="1" applyAlignment="1">
      <alignment horizontal="center"/>
    </xf>
    <xf numFmtId="0" fontId="9" fillId="0" borderId="4" xfId="2" applyFont="1" applyBorder="1" applyAlignment="1">
      <alignment horizontal="center"/>
    </xf>
    <xf numFmtId="0" fontId="9" fillId="0" borderId="2" xfId="2" applyFont="1" applyBorder="1" applyAlignment="1">
      <alignment horizontal="center" wrapText="1"/>
    </xf>
    <xf numFmtId="0" fontId="9" fillId="0" borderId="4" xfId="2" applyFont="1" applyBorder="1" applyAlignment="1">
      <alignment horizontal="center" wrapText="1"/>
    </xf>
    <xf numFmtId="0" fontId="9" fillId="0" borderId="3" xfId="2" applyFont="1" applyBorder="1" applyAlignment="1">
      <alignment horizontal="center"/>
    </xf>
    <xf numFmtId="1" fontId="2" fillId="0" borderId="1" xfId="2" applyNumberFormat="1" applyFont="1" applyBorder="1" applyAlignment="1">
      <alignment horizontal="center"/>
    </xf>
    <xf numFmtId="0" fontId="2" fillId="0" borderId="2" xfId="2" applyFont="1" applyBorder="1" applyAlignment="1">
      <alignment horizontal="left"/>
    </xf>
    <xf numFmtId="0" fontId="2" fillId="0" borderId="4" xfId="2" applyFont="1" applyBorder="1" applyAlignment="1">
      <alignment horizontal="left"/>
    </xf>
    <xf numFmtId="184" fontId="2" fillId="0" borderId="1" xfId="2" applyNumberFormat="1" applyFont="1" applyBorder="1" applyAlignment="1">
      <alignment horizontal="center"/>
    </xf>
    <xf numFmtId="0" fontId="2" fillId="0" borderId="1" xfId="2" applyFont="1" applyBorder="1" applyAlignment="1">
      <alignment horizontal="center"/>
    </xf>
    <xf numFmtId="0" fontId="2" fillId="0" borderId="1" xfId="2" applyFont="1" applyBorder="1" applyAlignment="1">
      <alignment horizontal="center" vertical="center"/>
    </xf>
    <xf numFmtId="0" fontId="2" fillId="0" borderId="6" xfId="2" applyFont="1" applyBorder="1" applyAlignment="1">
      <alignment horizontal="center" vertical="center"/>
    </xf>
    <xf numFmtId="0" fontId="2" fillId="0" borderId="7" xfId="2" applyFont="1" applyBorder="1" applyAlignment="1">
      <alignment horizontal="center" vertical="center"/>
    </xf>
    <xf numFmtId="0" fontId="2" fillId="0" borderId="8" xfId="2" applyFont="1" applyBorder="1" applyAlignment="1">
      <alignment horizontal="center" vertical="center"/>
    </xf>
    <xf numFmtId="0" fontId="2" fillId="0" borderId="10" xfId="2" applyFont="1" applyBorder="1" applyAlignment="1">
      <alignment horizontal="center" vertical="center"/>
    </xf>
    <xf numFmtId="0" fontId="2" fillId="0" borderId="11" xfId="2" applyFont="1" applyBorder="1" applyAlignment="1">
      <alignment horizontal="center" vertical="center"/>
    </xf>
    <xf numFmtId="0" fontId="2" fillId="0" borderId="5" xfId="2" applyFont="1" applyBorder="1" applyAlignment="1">
      <alignment horizontal="center" vertical="center"/>
    </xf>
    <xf numFmtId="0" fontId="2" fillId="0" borderId="12" xfId="2" applyFont="1" applyBorder="1" applyAlignment="1">
      <alignment horizontal="center"/>
    </xf>
    <xf numFmtId="0" fontId="2" fillId="0" borderId="9" xfId="2" applyFont="1" applyBorder="1" applyAlignment="1">
      <alignment horizontal="center"/>
    </xf>
    <xf numFmtId="0" fontId="2" fillId="0" borderId="0" xfId="2" applyFont="1" applyAlignment="1">
      <alignment horizontal="center" shrinkToFit="1"/>
    </xf>
    <xf numFmtId="0" fontId="2" fillId="0" borderId="0" xfId="2" applyFont="1" applyAlignment="1">
      <alignment shrinkToFit="1"/>
    </xf>
    <xf numFmtId="0" fontId="2" fillId="0" borderId="0" xfId="2" applyFont="1" applyAlignment="1"/>
    <xf numFmtId="0" fontId="2" fillId="0" borderId="0" xfId="2" applyFont="1" applyAlignment="1">
      <alignment horizontal="left" vertical="center" wrapText="1"/>
    </xf>
    <xf numFmtId="0" fontId="0" fillId="0" borderId="0" xfId="0" applyAlignment="1">
      <alignment horizontal="left" vertical="center" wrapText="1"/>
    </xf>
    <xf numFmtId="0" fontId="2" fillId="0" borderId="2" xfId="2" applyFont="1" applyBorder="1" applyAlignment="1">
      <alignment horizontal="center" wrapText="1"/>
    </xf>
    <xf numFmtId="0" fontId="2" fillId="0" borderId="3" xfId="2" applyFont="1" applyBorder="1" applyAlignment="1">
      <alignment horizontal="center" wrapText="1"/>
    </xf>
    <xf numFmtId="0" fontId="2" fillId="0" borderId="2" xfId="2" applyFont="1" applyBorder="1" applyAlignment="1">
      <alignment horizontal="center"/>
    </xf>
    <xf numFmtId="0" fontId="2" fillId="0" borderId="4" xfId="2" applyFont="1" applyBorder="1" applyAlignment="1">
      <alignment horizontal="center"/>
    </xf>
    <xf numFmtId="0" fontId="2" fillId="0" borderId="4" xfId="2" applyFont="1" applyBorder="1" applyAlignment="1">
      <alignment horizontal="center" wrapText="1"/>
    </xf>
    <xf numFmtId="0" fontId="2" fillId="0" borderId="3" xfId="2" applyFont="1" applyBorder="1" applyAlignment="1">
      <alignment horizontal="center"/>
    </xf>
    <xf numFmtId="181" fontId="11" fillId="0" borderId="1" xfId="2" applyNumberFormat="1" applyFont="1" applyBorder="1" applyAlignment="1">
      <alignment horizontal="center"/>
    </xf>
    <xf numFmtId="185" fontId="11" fillId="0" borderId="0" xfId="2" applyNumberFormat="1" applyFont="1" applyBorder="1" applyAlignment="1">
      <alignment horizontal="center"/>
    </xf>
    <xf numFmtId="181" fontId="11" fillId="0" borderId="0" xfId="2" applyNumberFormat="1" applyFont="1" applyBorder="1" applyAlignment="1">
      <alignment horizontal="center"/>
    </xf>
    <xf numFmtId="186" fontId="11" fillId="0" borderId="0" xfId="2" applyNumberFormat="1" applyFont="1" applyBorder="1" applyAlignment="1">
      <alignment horizontal="center"/>
    </xf>
    <xf numFmtId="180" fontId="13" fillId="0" borderId="0" xfId="0" applyNumberFormat="1" applyFont="1" applyBorder="1">
      <alignment vertical="center"/>
    </xf>
    <xf numFmtId="0" fontId="13" fillId="0" borderId="0" xfId="0" applyFont="1" applyBorder="1">
      <alignment vertical="center"/>
    </xf>
    <xf numFmtId="180" fontId="11" fillId="0" borderId="0" xfId="2" applyNumberFormat="1" applyFont="1" applyBorder="1" applyAlignment="1">
      <alignment horizontal="right"/>
    </xf>
    <xf numFmtId="178" fontId="11" fillId="0" borderId="0" xfId="2" applyNumberFormat="1" applyFont="1" applyBorder="1" applyAlignment="1">
      <alignment horizontal="center"/>
    </xf>
    <xf numFmtId="184" fontId="11" fillId="0" borderId="0" xfId="2" applyNumberFormat="1" applyFont="1" applyBorder="1" applyAlignment="1">
      <alignment horizontal="left"/>
    </xf>
    <xf numFmtId="176" fontId="11" fillId="0" borderId="0" xfId="2" applyNumberFormat="1" applyFont="1" applyBorder="1"/>
    <xf numFmtId="0" fontId="13" fillId="0" borderId="0" xfId="0" applyFont="1" applyFill="1">
      <alignment vertical="center"/>
    </xf>
    <xf numFmtId="178" fontId="11" fillId="0" borderId="0" xfId="2" applyNumberFormat="1" applyFont="1" applyFill="1" applyBorder="1" applyAlignment="1" applyProtection="1">
      <alignment horizontal="right"/>
      <protection locked="0"/>
    </xf>
    <xf numFmtId="179" fontId="11" fillId="0" borderId="0" xfId="2" applyNumberFormat="1" applyFont="1" applyFill="1" applyBorder="1" applyAlignment="1">
      <alignment horizontal="right"/>
    </xf>
    <xf numFmtId="2" fontId="13" fillId="0" borderId="0" xfId="0" applyNumberFormat="1" applyFont="1">
      <alignment vertical="center"/>
    </xf>
  </cellXfs>
  <cellStyles count="3">
    <cellStyle name="標準" xfId="0" builtinId="0"/>
    <cellStyle name="標準_構造計算書表紙95" xfId="1" xr:uid="{00000000-0005-0000-0000-000001000000}"/>
    <cellStyle name="標準_新法風荷重(SI)"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32EB7-6A45-4BB3-9DD7-D54CB23FF7B3}">
  <sheetPr codeName="Sheet4"/>
  <dimension ref="A1:T65"/>
  <sheetViews>
    <sheetView tabSelected="1" workbookViewId="0">
      <selection activeCell="M16" sqref="M16"/>
    </sheetView>
  </sheetViews>
  <sheetFormatPr defaultColWidth="8.71875" defaultRowHeight="16.95" customHeight="1" x14ac:dyDescent="0.45"/>
  <cols>
    <col min="1" max="1" width="2.71875" style="129" customWidth="1"/>
    <col min="2" max="11" width="7.21875" style="90" customWidth="1"/>
    <col min="12" max="16384" width="8.71875" style="129"/>
  </cols>
  <sheetData>
    <row r="1" spans="1:20" ht="16.95" customHeight="1" x14ac:dyDescent="0.45">
      <c r="B1" s="90" t="s">
        <v>0</v>
      </c>
      <c r="K1" s="91"/>
    </row>
    <row r="2" spans="1:20" ht="16.95" customHeight="1" x14ac:dyDescent="0.45">
      <c r="B2" s="90" t="s">
        <v>30</v>
      </c>
      <c r="E2" s="92"/>
      <c r="J2" s="93"/>
      <c r="K2" s="93"/>
    </row>
    <row r="3" spans="1:20" ht="16.95" customHeight="1" x14ac:dyDescent="0.45">
      <c r="C3" s="94" t="s">
        <v>31</v>
      </c>
      <c r="D3" s="95" t="s">
        <v>88</v>
      </c>
      <c r="J3" s="93"/>
      <c r="K3" s="93"/>
      <c r="M3" s="129" t="s">
        <v>122</v>
      </c>
      <c r="N3" s="228">
        <v>9.9</v>
      </c>
      <c r="O3" s="129">
        <v>1.0102832496318914</v>
      </c>
      <c r="P3" s="129">
        <v>2.9937142030170985</v>
      </c>
      <c r="Q3" s="129">
        <v>-0.5</v>
      </c>
      <c r="R3" s="129">
        <v>3.5244993134932621</v>
      </c>
      <c r="S3" s="129">
        <v>440</v>
      </c>
      <c r="T3" s="129">
        <v>1550.7796979370353</v>
      </c>
    </row>
    <row r="4" spans="1:20" ht="16.95" customHeight="1" x14ac:dyDescent="0.45">
      <c r="C4" s="94" t="s">
        <v>33</v>
      </c>
      <c r="D4" s="96">
        <v>9.9</v>
      </c>
      <c r="F4" s="94" t="s">
        <v>34</v>
      </c>
      <c r="G4" s="96">
        <v>9.4</v>
      </c>
      <c r="I4" s="97" t="s">
        <v>109</v>
      </c>
      <c r="J4" s="92">
        <v>10</v>
      </c>
      <c r="K4" s="93"/>
      <c r="M4" s="129" t="s">
        <v>123</v>
      </c>
      <c r="N4" s="228">
        <v>9.4</v>
      </c>
      <c r="O4" s="129">
        <v>0.98955563472666708</v>
      </c>
      <c r="P4" s="129">
        <v>2.9937142030170985</v>
      </c>
      <c r="Q4" s="129">
        <v>-0.5</v>
      </c>
      <c r="R4" s="129">
        <v>3.462446758356823</v>
      </c>
      <c r="S4" s="129">
        <v>440</v>
      </c>
      <c r="T4" s="129">
        <v>1523.4765736770021</v>
      </c>
    </row>
    <row r="5" spans="1:20" ht="16.95" customHeight="1" x14ac:dyDescent="0.45">
      <c r="C5" s="98" t="s">
        <v>35</v>
      </c>
      <c r="D5" s="99" t="s">
        <v>22</v>
      </c>
      <c r="J5" s="93"/>
      <c r="K5" s="93"/>
      <c r="M5" s="129" t="s">
        <v>125</v>
      </c>
      <c r="N5" s="228">
        <v>8.4600000000000009</v>
      </c>
      <c r="O5" s="129">
        <v>0.94871817336709652</v>
      </c>
      <c r="P5" s="129">
        <v>2.9937142030170985</v>
      </c>
      <c r="Q5" s="129">
        <v>-0.5</v>
      </c>
      <c r="R5" s="129">
        <v>3.340191070269515</v>
      </c>
      <c r="S5" s="129">
        <v>440</v>
      </c>
      <c r="T5" s="129">
        <v>1469.6840709185867</v>
      </c>
    </row>
    <row r="6" spans="1:20" ht="16.95" customHeight="1" x14ac:dyDescent="0.45">
      <c r="B6" s="127" t="s">
        <v>36</v>
      </c>
      <c r="C6" s="112" t="s">
        <v>92</v>
      </c>
      <c r="D6" s="112" t="s">
        <v>18</v>
      </c>
      <c r="E6" s="135" t="s">
        <v>105</v>
      </c>
      <c r="F6" s="112" t="s">
        <v>38</v>
      </c>
      <c r="G6" s="136" t="s">
        <v>39</v>
      </c>
      <c r="H6" s="112" t="s">
        <v>40</v>
      </c>
      <c r="I6" s="129"/>
      <c r="J6" s="129"/>
      <c r="K6" s="101" t="s">
        <v>41</v>
      </c>
      <c r="M6" s="129" t="s">
        <v>126</v>
      </c>
      <c r="N6" s="228">
        <v>7.5200000000000005</v>
      </c>
      <c r="O6" s="129">
        <v>0.90505758184731366</v>
      </c>
      <c r="P6" s="129">
        <v>2.9937142030170985</v>
      </c>
      <c r="Q6" s="129">
        <v>-0.5</v>
      </c>
      <c r="R6" s="129">
        <v>3.209483737324613</v>
      </c>
      <c r="S6" s="129">
        <v>440</v>
      </c>
      <c r="T6" s="129">
        <v>1412.1728444228297</v>
      </c>
    </row>
    <row r="7" spans="1:20" ht="16.95" customHeight="1" x14ac:dyDescent="0.45">
      <c r="B7" s="102">
        <f>D4*0.5+G4*0.5</f>
        <v>9.65</v>
      </c>
      <c r="C7" s="104">
        <v>9.4</v>
      </c>
      <c r="D7" s="103">
        <f>peakZg(D5)</f>
        <v>450</v>
      </c>
      <c r="E7" s="135" cm="1">
        <f t="array" ref="E7">peakAlf(D5)</f>
        <v>0.2</v>
      </c>
      <c r="F7" s="104">
        <f>peakEr(B7,D5)</f>
        <v>0.78833694730102577</v>
      </c>
      <c r="G7" s="105">
        <v>34</v>
      </c>
      <c r="H7" s="103">
        <f>0.6*F7^2*G7^2</f>
        <v>431.05515882405888</v>
      </c>
      <c r="I7" s="129"/>
      <c r="J7" s="129"/>
      <c r="K7" s="106">
        <v>440</v>
      </c>
      <c r="M7" s="129" t="s">
        <v>127</v>
      </c>
      <c r="N7" s="228">
        <v>6.58</v>
      </c>
      <c r="O7" s="129">
        <v>0.85798448019767637</v>
      </c>
      <c r="P7" s="129">
        <v>2.9937142030170985</v>
      </c>
      <c r="Q7" s="129">
        <v>-0.5</v>
      </c>
      <c r="R7" s="129">
        <v>3.0685603243360262</v>
      </c>
      <c r="S7" s="129">
        <v>440</v>
      </c>
      <c r="T7" s="129">
        <v>1350.1665427078515</v>
      </c>
    </row>
    <row r="8" spans="1:20" ht="16.95" customHeight="1" x14ac:dyDescent="0.45">
      <c r="A8" s="225"/>
      <c r="B8" s="226"/>
      <c r="C8" s="227"/>
      <c r="D8" s="226"/>
      <c r="E8" s="227"/>
      <c r="F8" s="226"/>
      <c r="G8" s="227"/>
      <c r="H8" s="226"/>
      <c r="I8" s="227"/>
      <c r="J8" s="226"/>
      <c r="K8" s="227"/>
      <c r="L8" s="226"/>
      <c r="M8" s="129" t="s">
        <v>128</v>
      </c>
      <c r="N8" s="228">
        <v>5.6400000000000006</v>
      </c>
      <c r="O8" s="129">
        <v>0.80667893500089438</v>
      </c>
      <c r="P8" s="129">
        <v>2.9937142030170985</v>
      </c>
      <c r="Q8" s="129">
        <v>-0.5</v>
      </c>
      <c r="R8" s="129">
        <v>2.9149661849868842</v>
      </c>
      <c r="S8" s="129">
        <v>440</v>
      </c>
      <c r="T8" s="129">
        <v>1282.585121394229</v>
      </c>
    </row>
    <row r="9" spans="1:20" ht="16.95" customHeight="1" x14ac:dyDescent="0.45">
      <c r="B9" s="90" t="s">
        <v>42</v>
      </c>
      <c r="M9" s="129" t="s">
        <v>129</v>
      </c>
      <c r="N9" s="228">
        <v>4.7</v>
      </c>
      <c r="O9" s="129">
        <v>0.76873574650368381</v>
      </c>
      <c r="P9" s="129">
        <v>2.9937142030170985</v>
      </c>
      <c r="Q9" s="129">
        <v>-0.5</v>
      </c>
      <c r="R9" s="129">
        <v>2.8013751226750299</v>
      </c>
      <c r="S9" s="129">
        <v>440</v>
      </c>
      <c r="T9" s="129">
        <v>1232.6050539770131</v>
      </c>
    </row>
    <row r="10" spans="1:20" ht="16.95" customHeight="1" x14ac:dyDescent="0.45">
      <c r="B10" s="129" t="s">
        <v>98</v>
      </c>
      <c r="C10" s="129"/>
      <c r="D10" s="129"/>
      <c r="E10" s="129"/>
      <c r="F10" s="129"/>
      <c r="G10" s="129"/>
      <c r="H10" s="129"/>
      <c r="M10" s="129" t="s">
        <v>130</v>
      </c>
      <c r="N10" s="228">
        <v>3.76</v>
      </c>
      <c r="O10" s="129">
        <v>0.76873574650368381</v>
      </c>
      <c r="P10" s="129">
        <v>2.9937142030170985</v>
      </c>
      <c r="Q10" s="129">
        <v>-0.5</v>
      </c>
      <c r="R10" s="129">
        <v>2.8013751226750299</v>
      </c>
      <c r="S10" s="129">
        <v>440</v>
      </c>
      <c r="T10" s="129">
        <v>1232.6050539770131</v>
      </c>
    </row>
    <row r="11" spans="1:20" ht="16.95" customHeight="1" x14ac:dyDescent="0.45">
      <c r="B11" s="154" t="s">
        <v>99</v>
      </c>
      <c r="C11" s="155"/>
      <c r="D11" s="156">
        <v>1</v>
      </c>
      <c r="E11" s="157"/>
      <c r="F11" s="99" t="str">
        <f>IF(B7&lt;=5,"Cpe","-")</f>
        <v>-</v>
      </c>
      <c r="G11" s="130" t="str">
        <f>IF(F11="-","-",1)</f>
        <v>-</v>
      </c>
      <c r="M11" s="129" t="s">
        <v>131</v>
      </c>
      <c r="N11" s="228">
        <v>2.8200000000000003</v>
      </c>
      <c r="O11" s="129">
        <v>0.76873574650368381</v>
      </c>
      <c r="P11" s="129">
        <v>2.9937142030170985</v>
      </c>
      <c r="Q11" s="129">
        <v>-0.5</v>
      </c>
      <c r="R11" s="129">
        <v>2.8013751226750299</v>
      </c>
      <c r="S11" s="129">
        <v>440</v>
      </c>
      <c r="T11" s="129">
        <v>1232.6050539770131</v>
      </c>
    </row>
    <row r="12" spans="1:20" ht="16.95" customHeight="1" x14ac:dyDescent="0.45">
      <c r="B12" s="153" t="s">
        <v>100</v>
      </c>
      <c r="C12" s="113" t="s">
        <v>101</v>
      </c>
      <c r="D12" s="156" t="s">
        <v>102</v>
      </c>
      <c r="E12" s="157"/>
      <c r="F12" s="99" t="str">
        <f>IF(B7&lt;=5,"-",IF(B7&gt;5,IF(C7&gt;5,"-","Cpe")))</f>
        <v>-</v>
      </c>
      <c r="G12" s="130" t="str" cm="1">
        <f t="array" ref="G12">IF(F12="-","-",WpeakCpe(B7,C7,D5))</f>
        <v>-</v>
      </c>
      <c r="M12" s="129" t="s">
        <v>132</v>
      </c>
      <c r="N12" s="228">
        <v>1.88</v>
      </c>
      <c r="O12" s="129">
        <v>0.76873574650368381</v>
      </c>
      <c r="P12" s="129">
        <v>2.9937142030170985</v>
      </c>
      <c r="Q12" s="129">
        <v>-0.5</v>
      </c>
      <c r="R12" s="129">
        <v>2.8013751226750299</v>
      </c>
      <c r="S12" s="129">
        <v>440</v>
      </c>
      <c r="T12" s="129">
        <v>1232.6050539770131</v>
      </c>
    </row>
    <row r="13" spans="1:20" ht="16.95" customHeight="1" x14ac:dyDescent="0.45">
      <c r="B13" s="153"/>
      <c r="C13" s="113" t="s">
        <v>104</v>
      </c>
      <c r="D13" s="156" t="s">
        <v>103</v>
      </c>
      <c r="E13" s="157"/>
      <c r="F13" s="99" t="str">
        <f>IF(B7&gt;5,IF(C7&gt;5,"Cpe","-"),"-")</f>
        <v>Cpe</v>
      </c>
      <c r="G13" s="130" cm="1">
        <f t="array" ref="G13">IF(F13="-","-",WpeakCpe(B7,C7,D5))</f>
        <v>0.98955563472666708</v>
      </c>
      <c r="H13" s="129"/>
      <c r="M13" s="129" t="s">
        <v>124</v>
      </c>
      <c r="N13" s="228">
        <v>0.9399999999999995</v>
      </c>
      <c r="O13" s="129">
        <v>0.76873574650368381</v>
      </c>
      <c r="P13" s="129">
        <v>2.9937142030170985</v>
      </c>
      <c r="Q13" s="129">
        <v>-0.5</v>
      </c>
      <c r="R13" s="129">
        <v>2.8013751226750299</v>
      </c>
      <c r="S13" s="129">
        <v>440</v>
      </c>
      <c r="T13" s="129">
        <v>1232.6050539770131</v>
      </c>
    </row>
    <row r="14" spans="1:20" ht="16.95" customHeight="1" x14ac:dyDescent="0.45">
      <c r="B14" s="110" t="s">
        <v>54</v>
      </c>
    </row>
    <row r="15" spans="1:20" ht="16.95" customHeight="1" x14ac:dyDescent="0.45">
      <c r="B15" s="125" t="s">
        <v>121</v>
      </c>
      <c r="C15" s="112" t="s">
        <v>55</v>
      </c>
      <c r="D15" s="112" t="s">
        <v>86</v>
      </c>
      <c r="E15" s="112" t="s">
        <v>56</v>
      </c>
      <c r="F15" s="100" t="s">
        <v>90</v>
      </c>
      <c r="G15" s="129"/>
      <c r="H15" s="129"/>
      <c r="I15" s="129"/>
    </row>
    <row r="16" spans="1:20" ht="16.95" customHeight="1" x14ac:dyDescent="0.45">
      <c r="B16" s="126" t="s">
        <v>20</v>
      </c>
      <c r="C16" s="114">
        <v>2.2000000000000002</v>
      </c>
      <c r="D16" s="100" t="s">
        <v>57</v>
      </c>
      <c r="E16" s="114">
        <v>1.9</v>
      </c>
      <c r="F16" s="128" t="str">
        <f>IF("D5"="B19",wpeakGpe(D$5,B$50),"-")</f>
        <v>-</v>
      </c>
      <c r="G16" s="129"/>
      <c r="H16" s="129"/>
      <c r="I16" s="129"/>
    </row>
    <row r="17" spans="2:12" ht="16.95" customHeight="1" x14ac:dyDescent="0.45">
      <c r="B17" s="126" t="s">
        <v>21</v>
      </c>
      <c r="C17" s="114">
        <v>2.6</v>
      </c>
      <c r="D17" s="100" t="s">
        <v>57</v>
      </c>
      <c r="E17" s="114">
        <v>2.1</v>
      </c>
      <c r="F17" s="128" t="str">
        <f>IF("D5"="B19",wpeakGpe(D$5,B$50),"-")</f>
        <v>-</v>
      </c>
      <c r="G17" s="129"/>
      <c r="H17" s="107"/>
      <c r="I17" s="108"/>
    </row>
    <row r="18" spans="2:12" ht="16.95" customHeight="1" x14ac:dyDescent="0.45">
      <c r="B18" s="126" t="s">
        <v>91</v>
      </c>
      <c r="C18" s="114">
        <v>3.1</v>
      </c>
      <c r="D18" s="100" t="s">
        <v>57</v>
      </c>
      <c r="E18" s="114">
        <v>2.2999999999999998</v>
      </c>
      <c r="F18" s="128">
        <f>wpeakGpe(C7,D5)</f>
        <v>2.9994284880501882</v>
      </c>
      <c r="G18" s="129"/>
      <c r="H18" s="107"/>
      <c r="I18" s="108"/>
    </row>
    <row r="19" spans="2:12" ht="16.95" customHeight="1" x14ac:dyDescent="0.45">
      <c r="B19" s="126" t="s">
        <v>23</v>
      </c>
      <c r="C19" s="114">
        <v>3.1</v>
      </c>
      <c r="D19" s="100" t="s">
        <v>57</v>
      </c>
      <c r="E19" s="114">
        <v>2.2999999999999998</v>
      </c>
      <c r="F19" s="128" t="str">
        <f>IF("D5"="B19",wpeakGpe(D$5,B$50),"-")</f>
        <v>-</v>
      </c>
      <c r="G19" s="129"/>
      <c r="H19" s="129"/>
      <c r="K19" s="129"/>
    </row>
    <row r="20" spans="2:12" ht="16.95" customHeight="1" x14ac:dyDescent="0.45">
      <c r="B20" s="110" t="s">
        <v>97</v>
      </c>
      <c r="H20" s="116"/>
      <c r="I20" s="129"/>
    </row>
    <row r="21" spans="2:12" ht="16.95" customHeight="1" x14ac:dyDescent="0.45">
      <c r="B21" s="100" t="s">
        <v>96</v>
      </c>
      <c r="C21" s="112" t="s">
        <v>106</v>
      </c>
      <c r="D21" s="112" t="s">
        <v>107</v>
      </c>
      <c r="E21" s="112" t="s">
        <v>108</v>
      </c>
      <c r="H21" s="107"/>
      <c r="I21" s="108"/>
    </row>
    <row r="22" spans="2:12" ht="16.95" customHeight="1" x14ac:dyDescent="0.45">
      <c r="B22" s="100" t="s">
        <v>94</v>
      </c>
      <c r="C22" s="114">
        <v>-1.8</v>
      </c>
      <c r="D22" s="100" t="s">
        <v>57</v>
      </c>
      <c r="E22" s="114">
        <v>-2.4</v>
      </c>
      <c r="F22" s="115" cm="1">
        <f t="array" ref="F22">WpeakCpeM(B7,1)</f>
        <v>-1.8</v>
      </c>
      <c r="H22" s="107"/>
      <c r="I22" s="108"/>
    </row>
    <row r="23" spans="2:12" ht="16.95" customHeight="1" x14ac:dyDescent="0.45">
      <c r="B23" s="100" t="s">
        <v>95</v>
      </c>
      <c r="C23" s="114">
        <v>-2.2000000000000002</v>
      </c>
      <c r="D23" s="100" t="s">
        <v>57</v>
      </c>
      <c r="E23" s="114">
        <v>-3</v>
      </c>
      <c r="F23" s="115" cm="1">
        <f t="array" ref="F23">WpeakCpeM(B7,2)</f>
        <v>-2.2000000000000002</v>
      </c>
      <c r="H23" s="107"/>
      <c r="I23" s="108"/>
      <c r="K23" s="129"/>
    </row>
    <row r="24" spans="2:12" ht="16.95" customHeight="1" x14ac:dyDescent="0.45">
      <c r="B24" s="90" t="s">
        <v>67</v>
      </c>
      <c r="D24" s="90">
        <f>I25</f>
        <v>-0.5</v>
      </c>
      <c r="H24" s="129"/>
      <c r="J24" s="111"/>
    </row>
    <row r="25" spans="2:12" ht="16.95" customHeight="1" x14ac:dyDescent="0.45">
      <c r="B25" s="149" t="s">
        <v>68</v>
      </c>
      <c r="C25" s="150"/>
      <c r="D25" s="118" t="s">
        <v>69</v>
      </c>
      <c r="E25" s="118"/>
      <c r="F25" s="118"/>
      <c r="G25" s="113">
        <v>-0.5</v>
      </c>
      <c r="H25" s="139" t="s">
        <v>118</v>
      </c>
      <c r="I25" s="90">
        <f>IF(H25="","",G25)</f>
        <v>-0.5</v>
      </c>
      <c r="L25" s="90"/>
    </row>
    <row r="26" spans="2:12" ht="16.95" customHeight="1" x14ac:dyDescent="0.45">
      <c r="B26" s="151"/>
      <c r="C26" s="152"/>
      <c r="D26" s="118" t="s">
        <v>70</v>
      </c>
      <c r="E26" s="118"/>
      <c r="F26" s="118"/>
      <c r="G26" s="119">
        <v>0</v>
      </c>
      <c r="H26" s="139"/>
      <c r="I26" s="90" t="str">
        <f t="shared" ref="I26:I28" si="0">IF(H26="","",G26)</f>
        <v/>
      </c>
      <c r="L26" s="90"/>
    </row>
    <row r="27" spans="2:12" ht="16.95" customHeight="1" x14ac:dyDescent="0.45">
      <c r="B27" s="158" t="s">
        <v>71</v>
      </c>
      <c r="C27" s="158"/>
      <c r="D27" s="158" t="s">
        <v>72</v>
      </c>
      <c r="E27" s="158"/>
      <c r="F27" s="158"/>
      <c r="G27" s="113">
        <v>1.5</v>
      </c>
      <c r="H27" s="139"/>
      <c r="I27" s="90" t="str">
        <f t="shared" si="0"/>
        <v/>
      </c>
      <c r="L27" s="90"/>
    </row>
    <row r="28" spans="2:12" ht="16.95" customHeight="1" x14ac:dyDescent="0.45">
      <c r="B28" s="158"/>
      <c r="C28" s="158"/>
      <c r="D28" s="156" t="s">
        <v>73</v>
      </c>
      <c r="E28" s="159"/>
      <c r="F28" s="157"/>
      <c r="G28" s="113">
        <v>-1.2</v>
      </c>
      <c r="H28" s="139"/>
      <c r="I28" s="90" t="str">
        <f t="shared" si="0"/>
        <v/>
      </c>
      <c r="L28" s="90"/>
    </row>
    <row r="29" spans="2:12" ht="16.95" customHeight="1" x14ac:dyDescent="0.45">
      <c r="B29" s="120" t="s">
        <v>74</v>
      </c>
    </row>
    <row r="30" spans="2:12" ht="16.95" customHeight="1" x14ac:dyDescent="0.45">
      <c r="B30" s="160" t="s">
        <v>75</v>
      </c>
      <c r="C30" s="161"/>
      <c r="D30" s="162"/>
      <c r="E30" s="121" t="s">
        <v>76</v>
      </c>
      <c r="F30" s="166" t="s">
        <v>77</v>
      </c>
      <c r="G30" s="166"/>
      <c r="H30" s="169" t="s">
        <v>78</v>
      </c>
      <c r="I30" s="169" t="s">
        <v>79</v>
      </c>
      <c r="J30" s="169"/>
    </row>
    <row r="31" spans="2:12" ht="16.95" customHeight="1" x14ac:dyDescent="0.45">
      <c r="B31" s="163"/>
      <c r="C31" s="164"/>
      <c r="D31" s="165"/>
      <c r="E31" s="122"/>
      <c r="F31" s="170" t="s">
        <v>80</v>
      </c>
      <c r="G31" s="170"/>
      <c r="H31" s="169"/>
      <c r="I31" s="169"/>
      <c r="J31" s="169"/>
    </row>
    <row r="32" spans="2:12" ht="16.95" customHeight="1" x14ac:dyDescent="0.45">
      <c r="B32" s="113" t="s">
        <v>81</v>
      </c>
      <c r="C32" s="113"/>
      <c r="D32" s="123">
        <f>MAX(G11:G13)*MAX(F16:F19)</f>
        <v>2.9681013613097513</v>
      </c>
      <c r="E32" s="118">
        <v>-0.5</v>
      </c>
      <c r="F32" s="167">
        <f>D32-E32</f>
        <v>3.4681013613097513</v>
      </c>
      <c r="G32" s="158"/>
      <c r="H32" s="124">
        <f>+K7</f>
        <v>440</v>
      </c>
      <c r="I32" s="168">
        <f>+F32*H32</f>
        <v>1525.9645989762905</v>
      </c>
      <c r="J32" s="168"/>
    </row>
    <row r="33" spans="1:11" ht="16.95" customHeight="1" x14ac:dyDescent="0.45">
      <c r="B33" s="113" t="s">
        <v>82</v>
      </c>
      <c r="C33" s="113"/>
      <c r="D33" s="123">
        <f>F22</f>
        <v>-1.8</v>
      </c>
      <c r="E33" s="118">
        <v>0</v>
      </c>
      <c r="F33" s="167">
        <f>+D33-E33</f>
        <v>-1.8</v>
      </c>
      <c r="G33" s="158"/>
      <c r="H33" s="124">
        <f>+H32</f>
        <v>440</v>
      </c>
      <c r="I33" s="168">
        <f>+F33*H33</f>
        <v>-792</v>
      </c>
      <c r="J33" s="168"/>
    </row>
    <row r="34" spans="1:11" ht="16.95" customHeight="1" x14ac:dyDescent="0.45">
      <c r="B34" s="113" t="s">
        <v>83</v>
      </c>
      <c r="C34" s="113"/>
      <c r="D34" s="123">
        <f>F23</f>
        <v>-2.2000000000000002</v>
      </c>
      <c r="E34" s="118">
        <v>0</v>
      </c>
      <c r="F34" s="167">
        <f>+D34-E34</f>
        <v>-2.2000000000000002</v>
      </c>
      <c r="G34" s="158"/>
      <c r="H34" s="124">
        <f>+H33</f>
        <v>440</v>
      </c>
      <c r="I34" s="168">
        <f>+F34*H34</f>
        <v>-968.00000000000011</v>
      </c>
      <c r="J34" s="168"/>
    </row>
    <row r="35" spans="1:11" ht="16.95" customHeight="1" x14ac:dyDescent="0.45">
      <c r="B35" s="90" t="s">
        <v>120</v>
      </c>
    </row>
    <row r="36" spans="1:11" ht="16.95" customHeight="1" x14ac:dyDescent="0.45">
      <c r="B36" s="145" t="s">
        <v>119</v>
      </c>
      <c r="C36" s="146">
        <f>B7</f>
        <v>9.65</v>
      </c>
      <c r="D36" s="145"/>
      <c r="E36" s="138" t="str">
        <f>D5</f>
        <v>Ⅲ</v>
      </c>
      <c r="F36" s="137"/>
      <c r="G36" s="129"/>
    </row>
    <row r="37" spans="1:11" ht="16.95" customHeight="1" x14ac:dyDescent="0.45">
      <c r="B37" s="148" t="s">
        <v>110</v>
      </c>
      <c r="C37" s="148" t="s">
        <v>92</v>
      </c>
      <c r="D37" s="148" t="s">
        <v>93</v>
      </c>
      <c r="E37" s="148" t="s">
        <v>116</v>
      </c>
      <c r="F37" s="131" t="s">
        <v>117</v>
      </c>
      <c r="G37" s="109" t="s">
        <v>113</v>
      </c>
      <c r="H37" s="132" t="s">
        <v>114</v>
      </c>
      <c r="I37" s="148" t="s">
        <v>115</v>
      </c>
    </row>
    <row r="38" spans="1:11" ht="16.95" customHeight="1" x14ac:dyDescent="0.45">
      <c r="B38" s="133" t="s">
        <v>111</v>
      </c>
      <c r="C38" s="134">
        <f>D4</f>
        <v>9.9</v>
      </c>
      <c r="D38" s="140">
        <f>WpeakCpe(C36,C38,E36)</f>
        <v>1.0102832496318914</v>
      </c>
      <c r="E38" s="140">
        <f>wpeakGpe(C36,E36)</f>
        <v>2.9937142030170985</v>
      </c>
      <c r="F38" s="215">
        <v>-0.5</v>
      </c>
      <c r="G38" s="140">
        <f>D38*E38-F38</f>
        <v>3.5244993134932621</v>
      </c>
      <c r="H38" s="143">
        <f>K7</f>
        <v>440</v>
      </c>
      <c r="I38" s="143">
        <f>G38*H38</f>
        <v>1550.7796979370353</v>
      </c>
    </row>
    <row r="39" spans="1:11" ht="16.95" customHeight="1" x14ac:dyDescent="0.45">
      <c r="B39" s="148" t="s">
        <v>112</v>
      </c>
      <c r="C39" s="140">
        <f>G4</f>
        <v>9.4</v>
      </c>
      <c r="D39" s="140">
        <f>WpeakCpe(C36,C39,E37)</f>
        <v>0.98955563472666708</v>
      </c>
      <c r="E39" s="140">
        <f>E38</f>
        <v>2.9937142030170985</v>
      </c>
      <c r="F39" s="215">
        <v>-0.5</v>
      </c>
      <c r="G39" s="140">
        <v>3.462446758356823</v>
      </c>
      <c r="H39" s="143">
        <f>H38</f>
        <v>440</v>
      </c>
      <c r="I39" s="143">
        <v>1523.4765736770021</v>
      </c>
    </row>
    <row r="40" spans="1:11" ht="16.95" customHeight="1" x14ac:dyDescent="0.45">
      <c r="B40" s="113"/>
      <c r="C40" s="140">
        <v>5</v>
      </c>
      <c r="D40" s="140">
        <f>WpeakCpe(C36,C40,E38)</f>
        <v>0.76873574650368381</v>
      </c>
      <c r="E40" s="140">
        <f>E39</f>
        <v>2.9937142030170985</v>
      </c>
      <c r="F40" s="215">
        <v>-0.5</v>
      </c>
      <c r="G40" s="140">
        <v>2.9754827968165505</v>
      </c>
      <c r="H40" s="143">
        <f>H39</f>
        <v>440</v>
      </c>
      <c r="I40" s="143">
        <v>1309.2124305992822</v>
      </c>
    </row>
    <row r="41" spans="1:11" ht="16.95" customHeight="1" x14ac:dyDescent="0.45">
      <c r="C41" s="141"/>
      <c r="D41" s="141"/>
      <c r="E41" s="141"/>
      <c r="F41" s="142"/>
      <c r="G41" s="141"/>
      <c r="H41" s="144"/>
      <c r="I41" s="144"/>
    </row>
    <row r="42" spans="1:11" ht="16.95" customHeight="1" x14ac:dyDescent="0.45">
      <c r="B42" s="129"/>
      <c r="C42" s="129"/>
      <c r="D42" s="129"/>
      <c r="E42" s="129"/>
      <c r="F42" s="129"/>
      <c r="G42" s="129"/>
      <c r="H42" s="129"/>
      <c r="I42" s="129"/>
      <c r="J42" s="147"/>
    </row>
    <row r="43" spans="1:11" ht="16.95" customHeight="1" x14ac:dyDescent="0.45">
      <c r="B43" s="147"/>
      <c r="C43" s="147"/>
      <c r="D43" s="147"/>
      <c r="E43" s="147"/>
      <c r="F43" s="147"/>
      <c r="G43" s="147"/>
      <c r="H43" s="147"/>
      <c r="I43" s="147"/>
      <c r="J43" s="147"/>
    </row>
    <row r="44" spans="1:11" ht="16.95" customHeight="1" x14ac:dyDescent="0.45">
      <c r="B44" s="147"/>
      <c r="C44" s="216"/>
      <c r="D44" s="216"/>
      <c r="E44" s="216"/>
      <c r="F44" s="217"/>
      <c r="G44" s="216"/>
      <c r="H44" s="218"/>
      <c r="I44" s="218"/>
      <c r="J44" s="147"/>
    </row>
    <row r="45" spans="1:11" ht="16.95" customHeight="1" x14ac:dyDescent="0.45">
      <c r="B45" s="147"/>
      <c r="C45" s="147"/>
      <c r="D45" s="147"/>
      <c r="E45" s="147"/>
      <c r="F45" s="147"/>
      <c r="G45" s="147"/>
      <c r="H45" s="147"/>
      <c r="I45" s="147"/>
      <c r="J45" s="147"/>
    </row>
    <row r="46" spans="1:11" ht="16.95" customHeight="1" x14ac:dyDescent="0.8">
      <c r="B46" s="219"/>
      <c r="C46" s="220"/>
      <c r="D46" s="220"/>
      <c r="E46" s="220"/>
      <c r="F46" s="220"/>
      <c r="G46" s="220"/>
      <c r="H46" s="220"/>
      <c r="I46" s="220"/>
      <c r="J46" s="220"/>
      <c r="K46" s="129"/>
    </row>
    <row r="47" spans="1:11" ht="16.95" customHeight="1" x14ac:dyDescent="0.8">
      <c r="B47" s="219"/>
      <c r="C47" s="220"/>
      <c r="D47" s="220"/>
      <c r="E47" s="220"/>
      <c r="F47" s="220"/>
      <c r="G47" s="220"/>
      <c r="H47" s="220"/>
      <c r="I47" s="220"/>
      <c r="J47" s="220"/>
      <c r="K47" s="129"/>
    </row>
    <row r="48" spans="1:11" ht="16.95" customHeight="1" x14ac:dyDescent="0.45">
      <c r="A48" s="220"/>
      <c r="B48" s="220"/>
      <c r="C48" s="220"/>
      <c r="D48" s="220"/>
      <c r="E48" s="220"/>
      <c r="F48" s="220"/>
      <c r="G48" s="220"/>
      <c r="H48" s="220"/>
      <c r="I48" s="220"/>
      <c r="J48" s="147"/>
    </row>
    <row r="49" spans="1:11" ht="16.95" customHeight="1" x14ac:dyDescent="0.45">
      <c r="A49" s="220"/>
      <c r="B49" s="97"/>
      <c r="C49" s="97"/>
      <c r="D49" s="97"/>
      <c r="E49" s="97"/>
      <c r="F49" s="97"/>
      <c r="G49" s="220"/>
      <c r="H49" s="97"/>
      <c r="I49" s="97"/>
      <c r="J49" s="147"/>
    </row>
    <row r="50" spans="1:11" ht="16.95" customHeight="1" x14ac:dyDescent="0.45">
      <c r="A50" s="220"/>
      <c r="B50" s="221"/>
      <c r="C50" s="221"/>
      <c r="D50" s="222"/>
      <c r="E50" s="223"/>
      <c r="F50" s="107"/>
      <c r="G50" s="107"/>
      <c r="H50" s="107"/>
      <c r="I50" s="224"/>
      <c r="J50" s="147"/>
    </row>
    <row r="51" spans="1:11" ht="16.95" customHeight="1" x14ac:dyDescent="0.45">
      <c r="A51" s="220"/>
      <c r="B51" s="219"/>
      <c r="C51" s="220"/>
      <c r="D51" s="222"/>
      <c r="E51" s="223"/>
      <c r="F51" s="107"/>
      <c r="G51" s="107"/>
      <c r="H51" s="107"/>
      <c r="I51" s="224"/>
      <c r="J51" s="147"/>
    </row>
    <row r="52" spans="1:11" ht="16.95" customHeight="1" x14ac:dyDescent="0.45">
      <c r="A52" s="220"/>
      <c r="B52" s="219"/>
      <c r="C52" s="220"/>
      <c r="D52" s="222"/>
      <c r="E52" s="223"/>
      <c r="F52" s="107"/>
      <c r="G52" s="107"/>
      <c r="H52" s="107"/>
      <c r="I52" s="224"/>
      <c r="J52" s="147"/>
    </row>
    <row r="53" spans="1:11" ht="16.95" customHeight="1" x14ac:dyDescent="0.45">
      <c r="A53" s="220"/>
      <c r="B53" s="219"/>
      <c r="C53" s="220"/>
      <c r="D53" s="222"/>
      <c r="E53" s="223"/>
      <c r="F53" s="107"/>
      <c r="G53" s="107"/>
      <c r="H53" s="107"/>
      <c r="I53" s="224"/>
      <c r="J53" s="147"/>
    </row>
    <row r="54" spans="1:11" ht="16.95" customHeight="1" x14ac:dyDescent="0.45">
      <c r="A54" s="220"/>
      <c r="B54" s="219"/>
      <c r="C54" s="117"/>
      <c r="D54" s="222"/>
      <c r="E54" s="223"/>
      <c r="F54" s="107"/>
      <c r="G54" s="107"/>
      <c r="H54" s="107"/>
      <c r="I54" s="224"/>
      <c r="J54" s="147"/>
    </row>
    <row r="55" spans="1:11" ht="16.95" customHeight="1" x14ac:dyDescent="0.45">
      <c r="A55" s="220"/>
      <c r="B55" s="219"/>
      <c r="C55" s="220"/>
      <c r="D55" s="222"/>
      <c r="E55" s="223"/>
      <c r="F55" s="107"/>
      <c r="G55" s="107"/>
      <c r="H55" s="107"/>
      <c r="I55" s="224"/>
      <c r="J55" s="147"/>
      <c r="K55" s="129"/>
    </row>
    <row r="56" spans="1:11" ht="16.95" customHeight="1" x14ac:dyDescent="0.45">
      <c r="A56" s="220"/>
      <c r="B56" s="219"/>
      <c r="C56" s="220"/>
      <c r="D56" s="222"/>
      <c r="E56" s="223"/>
      <c r="F56" s="107"/>
      <c r="G56" s="107"/>
      <c r="H56" s="107"/>
      <c r="I56" s="224"/>
      <c r="J56" s="147"/>
      <c r="K56" s="129"/>
    </row>
    <row r="57" spans="1:11" ht="16.95" customHeight="1" x14ac:dyDescent="0.45">
      <c r="A57" s="220"/>
      <c r="B57" s="219"/>
      <c r="C57" s="220"/>
      <c r="D57" s="222"/>
      <c r="E57" s="223"/>
      <c r="F57" s="107"/>
      <c r="G57" s="107"/>
      <c r="H57" s="107"/>
      <c r="I57" s="224"/>
      <c r="J57" s="147"/>
    </row>
    <row r="58" spans="1:11" ht="16.95" customHeight="1" x14ac:dyDescent="0.45">
      <c r="A58" s="220"/>
      <c r="B58" s="219"/>
      <c r="C58" s="220"/>
      <c r="D58" s="222"/>
      <c r="E58" s="223"/>
      <c r="F58" s="107"/>
      <c r="G58" s="107"/>
      <c r="H58" s="107"/>
      <c r="I58" s="224"/>
      <c r="J58" s="147"/>
    </row>
    <row r="59" spans="1:11" ht="16.95" customHeight="1" x14ac:dyDescent="0.45">
      <c r="A59" s="220"/>
      <c r="B59" s="219"/>
      <c r="C59" s="220"/>
      <c r="D59" s="222"/>
      <c r="E59" s="223"/>
      <c r="F59" s="107"/>
      <c r="G59" s="107"/>
      <c r="H59" s="107"/>
      <c r="I59" s="224"/>
      <c r="J59" s="147"/>
    </row>
    <row r="60" spans="1:11" ht="16.95" customHeight="1" x14ac:dyDescent="0.45">
      <c r="A60" s="220"/>
      <c r="B60" s="219"/>
      <c r="C60" s="220"/>
      <c r="D60" s="222"/>
      <c r="E60" s="223"/>
      <c r="F60" s="107"/>
      <c r="G60" s="107"/>
      <c r="H60" s="107"/>
      <c r="I60" s="224"/>
      <c r="J60" s="147"/>
    </row>
    <row r="61" spans="1:11" ht="16.95" customHeight="1" x14ac:dyDescent="0.45">
      <c r="A61" s="220"/>
      <c r="B61" s="219"/>
      <c r="C61" s="220"/>
      <c r="D61" s="222"/>
      <c r="E61" s="223"/>
      <c r="F61" s="107"/>
      <c r="G61" s="107"/>
      <c r="H61" s="107"/>
      <c r="I61" s="224"/>
      <c r="J61" s="147"/>
    </row>
    <row r="62" spans="1:11" ht="16.95" customHeight="1" x14ac:dyDescent="0.45">
      <c r="A62" s="220"/>
      <c r="B62" s="219"/>
      <c r="C62" s="220"/>
      <c r="D62" s="222"/>
      <c r="E62" s="223"/>
      <c r="F62" s="107"/>
      <c r="G62" s="107"/>
      <c r="H62" s="107"/>
      <c r="I62" s="224"/>
      <c r="J62" s="147"/>
    </row>
    <row r="63" spans="1:11" ht="16.95" customHeight="1" x14ac:dyDescent="0.45">
      <c r="A63" s="220"/>
      <c r="B63" s="219"/>
      <c r="C63" s="220"/>
      <c r="D63" s="222"/>
      <c r="E63" s="223"/>
      <c r="F63" s="107"/>
      <c r="G63" s="107"/>
      <c r="H63" s="107"/>
      <c r="I63" s="224"/>
      <c r="J63" s="147"/>
      <c r="K63" s="129"/>
    </row>
    <row r="64" spans="1:11" ht="16.95" customHeight="1" x14ac:dyDescent="0.8">
      <c r="A64" s="220"/>
      <c r="B64" s="219"/>
      <c r="C64" s="220"/>
      <c r="D64" s="220"/>
      <c r="E64" s="220"/>
      <c r="F64" s="220"/>
      <c r="G64" s="220"/>
      <c r="H64" s="220"/>
      <c r="I64" s="220"/>
      <c r="J64" s="220"/>
      <c r="K64" s="129"/>
    </row>
    <row r="65" spans="2:10" ht="16.95" customHeight="1" x14ac:dyDescent="0.45">
      <c r="B65" s="147"/>
      <c r="C65" s="147"/>
      <c r="D65" s="147"/>
      <c r="E65" s="147"/>
      <c r="F65" s="147"/>
      <c r="G65" s="147"/>
      <c r="H65" s="147"/>
      <c r="I65" s="147"/>
      <c r="J65" s="147"/>
    </row>
  </sheetData>
  <mergeCells count="20">
    <mergeCell ref="F34:G34"/>
    <mergeCell ref="I34:J34"/>
    <mergeCell ref="I30:J31"/>
    <mergeCell ref="F31:G31"/>
    <mergeCell ref="F32:G32"/>
    <mergeCell ref="I32:J32"/>
    <mergeCell ref="F33:G33"/>
    <mergeCell ref="I33:J33"/>
    <mergeCell ref="H30:H31"/>
    <mergeCell ref="B27:C28"/>
    <mergeCell ref="D27:F27"/>
    <mergeCell ref="D28:F28"/>
    <mergeCell ref="B30:D31"/>
    <mergeCell ref="F30:G30"/>
    <mergeCell ref="B25:C26"/>
    <mergeCell ref="B12:B13"/>
    <mergeCell ref="B11:C11"/>
    <mergeCell ref="D11:E11"/>
    <mergeCell ref="D12:E12"/>
    <mergeCell ref="D13:E13"/>
  </mergeCells>
  <phoneticPr fontId="8"/>
  <dataValidations disablePrompts="1" count="1">
    <dataValidation type="list" allowBlank="1" showInputMessage="1" showErrorMessage="1" sqref="D5" xr:uid="{DBAAF2A5-0710-4010-83E4-6EC24CD62E89}">
      <formula1>"Ⅰ,Ⅱ,Ⅲ,Ⅳ"</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L39"/>
  <sheetViews>
    <sheetView workbookViewId="0">
      <selection activeCell="K11" sqref="K11"/>
    </sheetView>
  </sheetViews>
  <sheetFormatPr defaultColWidth="8.71875" defaultRowHeight="16.95" customHeight="1" x14ac:dyDescent="0.7"/>
  <cols>
    <col min="1" max="1" width="2.71875" style="50" customWidth="1"/>
    <col min="2" max="11" width="7.21875" style="48" customWidth="1"/>
    <col min="12" max="16384" width="8.71875" style="50"/>
  </cols>
  <sheetData>
    <row r="1" spans="2:12" ht="16.95" customHeight="1" x14ac:dyDescent="0.7">
      <c r="B1" s="48" t="s">
        <v>0</v>
      </c>
      <c r="K1" s="49"/>
    </row>
    <row r="2" spans="2:12" ht="16.95" customHeight="1" x14ac:dyDescent="0.7">
      <c r="B2" s="48" t="s">
        <v>30</v>
      </c>
      <c r="E2" s="51"/>
      <c r="J2" s="52"/>
      <c r="K2" s="52"/>
    </row>
    <row r="3" spans="2:12" ht="16.95" customHeight="1" x14ac:dyDescent="0.7">
      <c r="C3" s="53" t="s">
        <v>31</v>
      </c>
      <c r="D3" s="54" t="s">
        <v>88</v>
      </c>
      <c r="J3" s="52"/>
      <c r="K3" s="52"/>
    </row>
    <row r="4" spans="2:12" ht="16.95" customHeight="1" x14ac:dyDescent="0.7">
      <c r="C4" s="53" t="s">
        <v>33</v>
      </c>
      <c r="D4" s="55">
        <v>10.65</v>
      </c>
      <c r="F4" s="53" t="s">
        <v>34</v>
      </c>
      <c r="G4" s="55">
        <v>6.45</v>
      </c>
      <c r="I4" s="56"/>
      <c r="J4" s="57">
        <v>3</v>
      </c>
      <c r="K4" s="52"/>
    </row>
    <row r="5" spans="2:12" ht="16.95" customHeight="1" x14ac:dyDescent="0.7">
      <c r="C5" s="58" t="s">
        <v>35</v>
      </c>
      <c r="D5" s="59" t="s">
        <v>22</v>
      </c>
      <c r="J5" s="52"/>
      <c r="K5" s="52"/>
    </row>
    <row r="6" spans="2:12" ht="16.95" customHeight="1" x14ac:dyDescent="0.7">
      <c r="B6" s="60" t="s">
        <v>36</v>
      </c>
      <c r="C6" s="61" t="s">
        <v>37</v>
      </c>
      <c r="D6" s="61" t="s">
        <v>18</v>
      </c>
      <c r="E6" s="61" t="s">
        <v>89</v>
      </c>
      <c r="F6" s="61"/>
      <c r="G6" s="61" t="s">
        <v>38</v>
      </c>
      <c r="H6" s="61"/>
      <c r="I6" s="62" t="s">
        <v>39</v>
      </c>
      <c r="J6" s="61" t="s">
        <v>40</v>
      </c>
      <c r="K6" s="63" t="s">
        <v>41</v>
      </c>
    </row>
    <row r="7" spans="2:12" ht="16.95" customHeight="1" x14ac:dyDescent="0.7">
      <c r="B7" s="64">
        <f>(D4+G4)/2</f>
        <v>8.5500000000000007</v>
      </c>
      <c r="C7" s="65">
        <v>5</v>
      </c>
      <c r="D7" s="65">
        <f>peakZg(D5)</f>
        <v>450</v>
      </c>
      <c r="E7" s="66">
        <f>peakAlf(D5)</f>
        <v>0.2</v>
      </c>
      <c r="F7" s="66"/>
      <c r="G7" s="67">
        <f>peakEr(B7,D5)</f>
        <v>0.76948408444391203</v>
      </c>
      <c r="H7" s="67"/>
      <c r="I7" s="68">
        <v>38</v>
      </c>
      <c r="J7" s="65">
        <f>0.6*G7^2*I7^2</f>
        <v>513.00042718249745</v>
      </c>
      <c r="K7" s="69">
        <v>513</v>
      </c>
    </row>
    <row r="8" spans="2:12" ht="16.95" customHeight="1" x14ac:dyDescent="0.7">
      <c r="B8" s="48" t="s">
        <v>42</v>
      </c>
    </row>
    <row r="9" spans="2:12" ht="16.95" customHeight="1" x14ac:dyDescent="0.7">
      <c r="B9" s="48" t="s">
        <v>43</v>
      </c>
    </row>
    <row r="10" spans="2:12" ht="16.95" customHeight="1" x14ac:dyDescent="0.7">
      <c r="B10" s="61" t="s">
        <v>44</v>
      </c>
      <c r="C10" s="61" t="s">
        <v>45</v>
      </c>
      <c r="D10" s="61" t="s">
        <v>46</v>
      </c>
      <c r="E10" s="61" t="s">
        <v>47</v>
      </c>
      <c r="F10" s="61" t="s">
        <v>48</v>
      </c>
      <c r="H10" s="61" t="s">
        <v>49</v>
      </c>
      <c r="I10" s="61" t="s">
        <v>50</v>
      </c>
      <c r="J10" s="61" t="s">
        <v>51</v>
      </c>
      <c r="K10" s="61" t="s">
        <v>52</v>
      </c>
    </row>
    <row r="11" spans="2:12" ht="16.95" customHeight="1" x14ac:dyDescent="0.7">
      <c r="B11" s="61" t="s">
        <v>53</v>
      </c>
      <c r="C11" s="61">
        <v>0</v>
      </c>
      <c r="D11" s="61">
        <v>0.2</v>
      </c>
      <c r="E11" s="61">
        <v>0.4</v>
      </c>
      <c r="F11" s="61">
        <v>0.8</v>
      </c>
      <c r="H11" s="61">
        <v>0.03</v>
      </c>
      <c r="I11" s="61">
        <v>1</v>
      </c>
      <c r="J11" s="70">
        <f>DEGREES(ATAN(H11/I11))</f>
        <v>1.7183580016554572</v>
      </c>
      <c r="K11" s="61">
        <f>ROUND(peakCpe(J11),3)</f>
        <v>0</v>
      </c>
    </row>
    <row r="12" spans="2:12" ht="16.95" customHeight="1" x14ac:dyDescent="0.7">
      <c r="B12" s="71" t="s">
        <v>54</v>
      </c>
      <c r="J12" s="72"/>
    </row>
    <row r="13" spans="2:12" ht="16.95" customHeight="1" x14ac:dyDescent="0.7">
      <c r="B13" s="187" t="s">
        <v>24</v>
      </c>
      <c r="C13" s="188"/>
      <c r="D13" s="73" t="s">
        <v>55</v>
      </c>
      <c r="E13" s="73" t="s">
        <v>86</v>
      </c>
      <c r="F13" s="73" t="s">
        <v>56</v>
      </c>
      <c r="L13" s="48"/>
    </row>
    <row r="14" spans="2:12" ht="16.95" customHeight="1" x14ac:dyDescent="0.7">
      <c r="B14" s="185" t="s">
        <v>20</v>
      </c>
      <c r="C14" s="186"/>
      <c r="D14" s="70">
        <v>2.2000000000000002</v>
      </c>
      <c r="E14" s="61" t="s">
        <v>57</v>
      </c>
      <c r="F14" s="70">
        <v>1.9</v>
      </c>
      <c r="G14" s="74"/>
      <c r="H14" s="75" t="str">
        <f>IF(J$4=1,peakGpeH(B$7,J$4),"-")</f>
        <v>-</v>
      </c>
      <c r="L14" s="48"/>
    </row>
    <row r="15" spans="2:12" ht="16.95" customHeight="1" x14ac:dyDescent="0.7">
      <c r="B15" s="185" t="s">
        <v>21</v>
      </c>
      <c r="C15" s="186"/>
      <c r="D15" s="70">
        <v>2.6</v>
      </c>
      <c r="E15" s="61" t="s">
        <v>57</v>
      </c>
      <c r="F15" s="70">
        <v>2.1</v>
      </c>
      <c r="G15" s="74"/>
      <c r="H15" s="75" t="str">
        <f>IF(J$4=2,peakGpeH(B$7,J$4),"-")</f>
        <v>-</v>
      </c>
      <c r="L15" s="48"/>
    </row>
    <row r="16" spans="2:12" ht="16.95" customHeight="1" x14ac:dyDescent="0.7">
      <c r="B16" s="185" t="s">
        <v>22</v>
      </c>
      <c r="C16" s="186"/>
      <c r="D16" s="70">
        <v>3.1</v>
      </c>
      <c r="E16" s="61" t="s">
        <v>57</v>
      </c>
      <c r="F16" s="70">
        <v>2.2999999999999998</v>
      </c>
      <c r="G16" s="74"/>
      <c r="H16" s="75">
        <f>IF(J$4=3,peakGpeH(B$7,J$4),"-")</f>
        <v>3.0188570571626934</v>
      </c>
      <c r="L16" s="48"/>
    </row>
    <row r="17" spans="2:12" ht="16.95" customHeight="1" x14ac:dyDescent="0.7">
      <c r="B17" s="185" t="s">
        <v>23</v>
      </c>
      <c r="C17" s="186"/>
      <c r="D17" s="70">
        <v>3.1</v>
      </c>
      <c r="E17" s="61" t="s">
        <v>57</v>
      </c>
      <c r="F17" s="70">
        <v>2.2999999999999998</v>
      </c>
      <c r="G17" s="74"/>
      <c r="H17" s="75" t="str">
        <f>IF(J$4=4,peakGpeH(B$7,J$4),"-")</f>
        <v>-</v>
      </c>
      <c r="L17" s="48"/>
    </row>
    <row r="18" spans="2:12" ht="16.95" customHeight="1" x14ac:dyDescent="0.7">
      <c r="B18" s="71" t="s">
        <v>58</v>
      </c>
      <c r="H18" s="76"/>
    </row>
    <row r="19" spans="2:12" ht="16.95" customHeight="1" x14ac:dyDescent="0.7">
      <c r="B19" s="61" t="s">
        <v>44</v>
      </c>
      <c r="C19" s="73" t="s">
        <v>59</v>
      </c>
      <c r="D19" s="73" t="s">
        <v>60</v>
      </c>
      <c r="E19" s="73" t="s">
        <v>61</v>
      </c>
      <c r="G19" s="70">
        <f>J11</f>
        <v>1.7183580016554572</v>
      </c>
    </row>
    <row r="20" spans="2:12" ht="16.95" customHeight="1" x14ac:dyDescent="0.7">
      <c r="B20" s="61">
        <v>1</v>
      </c>
      <c r="C20" s="70">
        <v>-2.5</v>
      </c>
      <c r="D20" s="61">
        <v>-2.5</v>
      </c>
      <c r="E20" s="70">
        <v>-2.5</v>
      </c>
      <c r="F20" s="74"/>
      <c r="G20" s="77">
        <f>peakGpe(G$19,B20)</f>
        <v>-2.5</v>
      </c>
    </row>
    <row r="21" spans="2:12" ht="16.95" customHeight="1" x14ac:dyDescent="0.7">
      <c r="B21" s="61">
        <v>2</v>
      </c>
      <c r="C21" s="70">
        <v>-3.2</v>
      </c>
      <c r="D21" s="61">
        <v>-3.2</v>
      </c>
      <c r="E21" s="70">
        <v>-3.2</v>
      </c>
      <c r="F21" s="74"/>
      <c r="G21" s="77">
        <f>peakGpe(G$19,B21)</f>
        <v>-3.2</v>
      </c>
    </row>
    <row r="22" spans="2:12" ht="16.95" customHeight="1" x14ac:dyDescent="0.7">
      <c r="B22" s="61">
        <v>3</v>
      </c>
      <c r="C22" s="70">
        <v>-4.3</v>
      </c>
      <c r="D22" s="61">
        <v>-3.2</v>
      </c>
      <c r="E22" s="70">
        <v>-3.2</v>
      </c>
      <c r="F22" s="74"/>
      <c r="G22" s="77">
        <f>peakGpe(G$19,B22)</f>
        <v>-4.3</v>
      </c>
    </row>
    <row r="23" spans="2:12" ht="16.95" customHeight="1" x14ac:dyDescent="0.7">
      <c r="B23" s="61">
        <v>4</v>
      </c>
      <c r="C23" s="70">
        <v>-3.2</v>
      </c>
      <c r="D23" s="61">
        <v>-5.4</v>
      </c>
      <c r="E23" s="70">
        <v>-3.2</v>
      </c>
      <c r="F23" s="74"/>
      <c r="G23" s="77">
        <f>peakGpe(G$19,B23)</f>
        <v>-3.2</v>
      </c>
    </row>
    <row r="24" spans="2:12" ht="16.95" customHeight="1" x14ac:dyDescent="0.7">
      <c r="B24" s="56"/>
      <c r="C24" s="78"/>
      <c r="D24" s="56"/>
      <c r="E24" s="78"/>
      <c r="F24" s="74"/>
      <c r="G24" s="76"/>
    </row>
    <row r="25" spans="2:12" ht="16.95" customHeight="1" x14ac:dyDescent="0.7">
      <c r="B25" s="60" t="s">
        <v>36</v>
      </c>
      <c r="C25" s="61" t="s">
        <v>62</v>
      </c>
      <c r="D25" s="61" t="s">
        <v>53</v>
      </c>
      <c r="E25" s="61" t="s">
        <v>63</v>
      </c>
      <c r="F25" s="61" t="s">
        <v>64</v>
      </c>
      <c r="G25" s="61" t="s">
        <v>65</v>
      </c>
      <c r="H25" s="61" t="s">
        <v>66</v>
      </c>
      <c r="I25" s="61" t="s">
        <v>85</v>
      </c>
      <c r="K25" s="50"/>
    </row>
    <row r="26" spans="2:12" ht="16.95" customHeight="1" x14ac:dyDescent="0.7">
      <c r="B26" s="64">
        <f>+B7</f>
        <v>8.5500000000000007</v>
      </c>
      <c r="C26" s="67"/>
      <c r="D26" s="79">
        <f>K11</f>
        <v>0</v>
      </c>
      <c r="E26" s="79">
        <f>H16</f>
        <v>3.0188570571626934</v>
      </c>
      <c r="F26" s="80">
        <f>G20</f>
        <v>-2.5</v>
      </c>
      <c r="G26" s="80">
        <f>G21</f>
        <v>-3.2</v>
      </c>
      <c r="H26" s="80">
        <f>G22</f>
        <v>-4.3</v>
      </c>
      <c r="I26" s="81">
        <f>G23</f>
        <v>-3.2</v>
      </c>
      <c r="K26" s="50"/>
    </row>
    <row r="27" spans="2:12" ht="16.95" customHeight="1" x14ac:dyDescent="0.7">
      <c r="B27" s="48" t="s">
        <v>67</v>
      </c>
    </row>
    <row r="28" spans="2:12" ht="16.95" customHeight="1" x14ac:dyDescent="0.7">
      <c r="B28" s="174" t="s">
        <v>68</v>
      </c>
      <c r="C28" s="174"/>
      <c r="D28" s="82" t="s">
        <v>69</v>
      </c>
      <c r="E28" s="82"/>
      <c r="F28" s="82"/>
      <c r="G28" s="83">
        <v>-0.5</v>
      </c>
    </row>
    <row r="29" spans="2:12" ht="16.95" customHeight="1" x14ac:dyDescent="0.7">
      <c r="B29" s="174"/>
      <c r="C29" s="174"/>
      <c r="D29" s="82" t="s">
        <v>70</v>
      </c>
      <c r="E29" s="82"/>
      <c r="F29" s="82"/>
      <c r="G29" s="84">
        <v>0</v>
      </c>
    </row>
    <row r="30" spans="2:12" ht="16.95" customHeight="1" x14ac:dyDescent="0.7">
      <c r="B30" s="174" t="s">
        <v>71</v>
      </c>
      <c r="C30" s="174"/>
      <c r="D30" s="174" t="s">
        <v>72</v>
      </c>
      <c r="E30" s="174"/>
      <c r="F30" s="174"/>
      <c r="G30" s="83">
        <v>1.5</v>
      </c>
    </row>
    <row r="31" spans="2:12" ht="16.95" customHeight="1" x14ac:dyDescent="0.7">
      <c r="B31" s="174"/>
      <c r="C31" s="174"/>
      <c r="D31" s="185" t="s">
        <v>73</v>
      </c>
      <c r="E31" s="189"/>
      <c r="F31" s="186"/>
      <c r="G31" s="83">
        <v>-1.2</v>
      </c>
    </row>
    <row r="32" spans="2:12" ht="16.95" customHeight="1" x14ac:dyDescent="0.7">
      <c r="B32" s="85" t="s">
        <v>74</v>
      </c>
    </row>
    <row r="33" spans="2:11" ht="16.95" customHeight="1" x14ac:dyDescent="0.7">
      <c r="B33" s="178" t="s">
        <v>75</v>
      </c>
      <c r="C33" s="179"/>
      <c r="D33" s="180"/>
      <c r="E33" s="86" t="s">
        <v>76</v>
      </c>
      <c r="F33" s="184" t="s">
        <v>77</v>
      </c>
      <c r="G33" s="184"/>
      <c r="H33" s="176" t="s">
        <v>78</v>
      </c>
      <c r="I33" s="176" t="s">
        <v>79</v>
      </c>
      <c r="J33" s="176"/>
      <c r="K33" s="50"/>
    </row>
    <row r="34" spans="2:11" ht="16.95" customHeight="1" x14ac:dyDescent="0.7">
      <c r="B34" s="181"/>
      <c r="C34" s="182"/>
      <c r="D34" s="183"/>
      <c r="E34" s="87"/>
      <c r="F34" s="177" t="s">
        <v>80</v>
      </c>
      <c r="G34" s="177"/>
      <c r="H34" s="176"/>
      <c r="I34" s="176"/>
      <c r="J34" s="176"/>
      <c r="K34" s="50"/>
    </row>
    <row r="35" spans="2:11" ht="16.95" customHeight="1" x14ac:dyDescent="0.7">
      <c r="B35" s="83" t="s">
        <v>81</v>
      </c>
      <c r="C35" s="83"/>
      <c r="D35" s="88">
        <f>D26*E26</f>
        <v>0</v>
      </c>
      <c r="E35" s="82">
        <v>-0.5</v>
      </c>
      <c r="F35" s="173">
        <f>D35-E35</f>
        <v>0.5</v>
      </c>
      <c r="G35" s="174"/>
      <c r="H35" s="89">
        <f>+K7</f>
        <v>513</v>
      </c>
      <c r="I35" s="175">
        <f>+F35*H35</f>
        <v>256.5</v>
      </c>
      <c r="J35" s="175"/>
      <c r="K35" s="50"/>
    </row>
    <row r="36" spans="2:11" ht="16.95" customHeight="1" x14ac:dyDescent="0.7">
      <c r="B36" s="83" t="s">
        <v>82</v>
      </c>
      <c r="C36" s="83"/>
      <c r="D36" s="88">
        <v>-2.5</v>
      </c>
      <c r="E36" s="82">
        <v>0</v>
      </c>
      <c r="F36" s="173">
        <f>+D36-E36</f>
        <v>-2.5</v>
      </c>
      <c r="G36" s="174"/>
      <c r="H36" s="89">
        <f>+H35</f>
        <v>513</v>
      </c>
      <c r="I36" s="175">
        <f>+F36*H36</f>
        <v>-1282.5</v>
      </c>
      <c r="J36" s="175"/>
      <c r="K36" s="50"/>
    </row>
    <row r="37" spans="2:11" ht="16.95" customHeight="1" x14ac:dyDescent="0.7">
      <c r="B37" s="83" t="s">
        <v>83</v>
      </c>
      <c r="C37" s="83"/>
      <c r="D37" s="88">
        <v>-3.2</v>
      </c>
      <c r="E37" s="82">
        <v>0</v>
      </c>
      <c r="F37" s="173">
        <f>+D37-E37</f>
        <v>-3.2</v>
      </c>
      <c r="G37" s="174"/>
      <c r="H37" s="89">
        <f>+H36</f>
        <v>513</v>
      </c>
      <c r="I37" s="175">
        <f>+F37*H37</f>
        <v>-1641.6000000000001</v>
      </c>
      <c r="J37" s="175"/>
      <c r="K37" s="50"/>
    </row>
    <row r="38" spans="2:11" ht="16.95" customHeight="1" x14ac:dyDescent="0.7">
      <c r="B38" s="171" t="s">
        <v>84</v>
      </c>
      <c r="C38" s="172"/>
      <c r="D38" s="88">
        <f>+H26</f>
        <v>-4.3</v>
      </c>
      <c r="E38" s="82">
        <v>0</v>
      </c>
      <c r="F38" s="173">
        <f>+D38-E38</f>
        <v>-4.3</v>
      </c>
      <c r="G38" s="174"/>
      <c r="H38" s="89">
        <f>+H37</f>
        <v>513</v>
      </c>
      <c r="I38" s="175">
        <f>+F38*H38</f>
        <v>-2205.9</v>
      </c>
      <c r="J38" s="175"/>
      <c r="K38" s="50"/>
    </row>
    <row r="39" spans="2:11" ht="16.95" customHeight="1" x14ac:dyDescent="0.7">
      <c r="B39" s="171" t="s">
        <v>87</v>
      </c>
      <c r="C39" s="172"/>
      <c r="D39" s="88">
        <f>I26</f>
        <v>-3.2</v>
      </c>
      <c r="E39" s="82">
        <v>0</v>
      </c>
      <c r="F39" s="173">
        <f>+D39-E39</f>
        <v>-3.2</v>
      </c>
      <c r="G39" s="174"/>
      <c r="H39" s="89">
        <f>+H38</f>
        <v>513</v>
      </c>
      <c r="I39" s="175">
        <f>+F39*H39</f>
        <v>-1641.6000000000001</v>
      </c>
      <c r="J39" s="175"/>
      <c r="K39" s="50"/>
    </row>
  </sheetData>
  <mergeCells count="26">
    <mergeCell ref="B13:C13"/>
    <mergeCell ref="B28:C29"/>
    <mergeCell ref="B30:C31"/>
    <mergeCell ref="D30:F30"/>
    <mergeCell ref="D31:F31"/>
    <mergeCell ref="B33:D34"/>
    <mergeCell ref="F33:G33"/>
    <mergeCell ref="B14:C14"/>
    <mergeCell ref="B15:C15"/>
    <mergeCell ref="B16:C16"/>
    <mergeCell ref="B17:C17"/>
    <mergeCell ref="H33:H34"/>
    <mergeCell ref="I33:J34"/>
    <mergeCell ref="F34:G34"/>
    <mergeCell ref="F35:G35"/>
    <mergeCell ref="I35:J35"/>
    <mergeCell ref="B39:C39"/>
    <mergeCell ref="F39:G39"/>
    <mergeCell ref="I39:J39"/>
    <mergeCell ref="F36:G36"/>
    <mergeCell ref="I36:J36"/>
    <mergeCell ref="F37:G37"/>
    <mergeCell ref="I37:J37"/>
    <mergeCell ref="B38:C38"/>
    <mergeCell ref="F38:G38"/>
    <mergeCell ref="I38:J38"/>
  </mergeCells>
  <phoneticPr fontId="3"/>
  <dataValidations count="1">
    <dataValidation type="list" allowBlank="1" showInputMessage="1" showErrorMessage="1" sqref="D5" xr:uid="{5C49D680-957A-41C9-AE60-A064F7ABC666}">
      <formula1>"Ⅰ,Ⅱ,Ⅲ,Ⅳ"</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L61"/>
  <sheetViews>
    <sheetView topLeftCell="A49" workbookViewId="0">
      <selection activeCell="J41" sqref="J41"/>
    </sheetView>
  </sheetViews>
  <sheetFormatPr defaultRowHeight="18" x14ac:dyDescent="0.25"/>
  <cols>
    <col min="1" max="1" width="2.71875" customWidth="1"/>
    <col min="2" max="11" width="7.21875" style="1" customWidth="1"/>
  </cols>
  <sheetData>
    <row r="1" spans="2:12" x14ac:dyDescent="0.25">
      <c r="B1" s="1" t="s">
        <v>0</v>
      </c>
      <c r="K1" s="2"/>
    </row>
    <row r="2" spans="2:12" x14ac:dyDescent="0.25">
      <c r="B2" s="1" t="s">
        <v>1</v>
      </c>
    </row>
    <row r="3" spans="2:12" x14ac:dyDescent="0.25">
      <c r="B3" s="3" t="s">
        <v>2</v>
      </c>
      <c r="C3" s="1" t="s">
        <v>3</v>
      </c>
      <c r="D3" s="1" t="s">
        <v>4</v>
      </c>
      <c r="F3" s="1" t="s">
        <v>5</v>
      </c>
    </row>
    <row r="4" spans="2:12" x14ac:dyDescent="0.25">
      <c r="D4" s="204" t="s">
        <v>6</v>
      </c>
      <c r="E4" s="204"/>
      <c r="F4" s="1" t="s">
        <v>7</v>
      </c>
    </row>
    <row r="5" spans="2:12" x14ac:dyDescent="0.25">
      <c r="F5" s="1" t="s">
        <v>8</v>
      </c>
    </row>
    <row r="6" spans="2:12" x14ac:dyDescent="0.25">
      <c r="C6" s="4" t="s">
        <v>9</v>
      </c>
      <c r="D6" s="205" t="s">
        <v>10</v>
      </c>
      <c r="E6" s="205"/>
      <c r="F6" s="1" t="s">
        <v>11</v>
      </c>
    </row>
    <row r="7" spans="2:12" x14ac:dyDescent="0.25">
      <c r="C7" s="4" t="s">
        <v>12</v>
      </c>
      <c r="D7" s="205" t="s">
        <v>13</v>
      </c>
      <c r="E7" s="205"/>
      <c r="F7" s="1" t="s">
        <v>14</v>
      </c>
    </row>
    <row r="8" spans="2:12" x14ac:dyDescent="0.25">
      <c r="B8" s="5" t="s">
        <v>15</v>
      </c>
      <c r="F8" s="1" t="s">
        <v>16</v>
      </c>
      <c r="G8" s="6"/>
      <c r="I8" s="6"/>
      <c r="J8" s="6"/>
    </row>
    <row r="9" spans="2:12" ht="18" customHeight="1" x14ac:dyDescent="0.25">
      <c r="B9" s="209" t="s">
        <v>24</v>
      </c>
      <c r="C9" s="210"/>
      <c r="D9" s="7" t="s">
        <v>17</v>
      </c>
      <c r="E9" s="7" t="s">
        <v>18</v>
      </c>
      <c r="F9" s="7" t="s">
        <v>19</v>
      </c>
      <c r="H9" s="8"/>
      <c r="I9" s="9"/>
      <c r="J9" s="9"/>
      <c r="K9" s="9"/>
      <c r="L9" s="1"/>
    </row>
    <row r="10" spans="2:12" ht="18" customHeight="1" x14ac:dyDescent="0.25">
      <c r="B10" s="211" t="s">
        <v>20</v>
      </c>
      <c r="C10" s="212"/>
      <c r="D10" s="7">
        <v>5</v>
      </c>
      <c r="E10" s="7">
        <v>250</v>
      </c>
      <c r="F10" s="10">
        <v>0.1</v>
      </c>
      <c r="H10" s="11"/>
      <c r="I10" s="12"/>
      <c r="J10" s="11"/>
      <c r="K10" s="12"/>
      <c r="L10" s="1"/>
    </row>
    <row r="11" spans="2:12" x14ac:dyDescent="0.25">
      <c r="B11" s="211" t="s">
        <v>21</v>
      </c>
      <c r="C11" s="212"/>
      <c r="D11" s="7">
        <v>5</v>
      </c>
      <c r="E11" s="7">
        <v>350</v>
      </c>
      <c r="F11" s="10">
        <v>0.15</v>
      </c>
      <c r="H11" s="11"/>
      <c r="I11" s="12"/>
      <c r="J11" s="11"/>
      <c r="K11" s="12"/>
      <c r="L11" s="1"/>
    </row>
    <row r="12" spans="2:12" x14ac:dyDescent="0.25">
      <c r="B12" s="211" t="s">
        <v>22</v>
      </c>
      <c r="C12" s="212"/>
      <c r="D12" s="7">
        <v>5</v>
      </c>
      <c r="E12" s="7">
        <v>450</v>
      </c>
      <c r="F12" s="10">
        <v>0.2</v>
      </c>
      <c r="H12" s="11"/>
      <c r="I12" s="12"/>
      <c r="J12" s="11"/>
      <c r="K12" s="12"/>
      <c r="L12" s="1"/>
    </row>
    <row r="13" spans="2:12" x14ac:dyDescent="0.25">
      <c r="B13" s="211" t="s">
        <v>23</v>
      </c>
      <c r="C13" s="212"/>
      <c r="D13" s="7">
        <v>10</v>
      </c>
      <c r="E13" s="7">
        <v>550</v>
      </c>
      <c r="F13" s="10">
        <v>0.27</v>
      </c>
      <c r="H13" s="11"/>
      <c r="I13" s="12"/>
      <c r="J13" s="11"/>
      <c r="K13" s="12"/>
      <c r="L13" s="1"/>
    </row>
    <row r="14" spans="2:12" x14ac:dyDescent="0.25">
      <c r="B14" s="1" t="s">
        <v>24</v>
      </c>
    </row>
    <row r="15" spans="2:12" x14ac:dyDescent="0.25">
      <c r="B15" s="206" t="s">
        <v>25</v>
      </c>
      <c r="C15" s="206"/>
      <c r="D15" s="206"/>
      <c r="E15" s="206"/>
      <c r="F15" s="206"/>
      <c r="G15" s="206"/>
      <c r="H15" s="206"/>
      <c r="I15" s="206"/>
      <c r="J15" s="206"/>
      <c r="K15" s="13"/>
    </row>
    <row r="16" spans="2:12" x14ac:dyDescent="0.25">
      <c r="B16" s="206" t="s">
        <v>26</v>
      </c>
      <c r="C16" s="206"/>
      <c r="D16" s="206"/>
      <c r="E16" s="206"/>
      <c r="F16" s="206"/>
      <c r="G16" s="206"/>
      <c r="H16" s="206"/>
      <c r="I16" s="206"/>
      <c r="J16" s="206"/>
      <c r="K16" s="13"/>
    </row>
    <row r="17" spans="2:11" x14ac:dyDescent="0.8">
      <c r="B17" s="207" t="s">
        <v>27</v>
      </c>
      <c r="C17" s="208"/>
      <c r="D17" s="208"/>
      <c r="E17" s="208"/>
      <c r="F17" s="208"/>
      <c r="G17" s="208"/>
      <c r="H17" s="208"/>
      <c r="I17" s="208"/>
      <c r="J17" s="208"/>
      <c r="K17" s="14"/>
    </row>
    <row r="18" spans="2:11" x14ac:dyDescent="0.8">
      <c r="B18" s="208"/>
      <c r="C18" s="208"/>
      <c r="D18" s="208"/>
      <c r="E18" s="208"/>
      <c r="F18" s="208"/>
      <c r="G18" s="208"/>
      <c r="H18" s="208"/>
      <c r="I18" s="208"/>
      <c r="J18" s="208"/>
      <c r="K18" s="14"/>
    </row>
    <row r="19" spans="2:11" x14ac:dyDescent="0.25">
      <c r="B19" s="1" t="s">
        <v>28</v>
      </c>
    </row>
    <row r="20" spans="2:11" x14ac:dyDescent="0.25">
      <c r="B20" s="206" t="s">
        <v>29</v>
      </c>
      <c r="C20" s="206"/>
      <c r="D20" s="206"/>
      <c r="E20" s="206"/>
      <c r="F20" s="206"/>
      <c r="G20" s="206"/>
      <c r="H20" s="206"/>
      <c r="I20" s="206"/>
      <c r="J20" s="206"/>
      <c r="K20" s="13"/>
    </row>
    <row r="21" spans="2:11" x14ac:dyDescent="0.25">
      <c r="B21" s="1" t="s">
        <v>30</v>
      </c>
      <c r="E21" s="15"/>
      <c r="J21" s="16"/>
      <c r="K21" s="16"/>
    </row>
    <row r="22" spans="2:11" x14ac:dyDescent="0.25">
      <c r="C22" s="17" t="s">
        <v>31</v>
      </c>
      <c r="D22" s="18" t="s">
        <v>32</v>
      </c>
      <c r="J22" s="16"/>
      <c r="K22" s="16"/>
    </row>
    <row r="23" spans="2:11" x14ac:dyDescent="0.25">
      <c r="C23" s="17" t="s">
        <v>33</v>
      </c>
      <c r="D23" s="19">
        <v>6.43</v>
      </c>
      <c r="I23" s="11"/>
      <c r="J23" s="11"/>
      <c r="K23" s="16"/>
    </row>
    <row r="24" spans="2:11" x14ac:dyDescent="0.25">
      <c r="C24" s="17" t="s">
        <v>34</v>
      </c>
      <c r="D24" s="19">
        <v>4.1500000000000004</v>
      </c>
      <c r="I24" s="20"/>
      <c r="J24" s="21">
        <v>3</v>
      </c>
      <c r="K24" s="16"/>
    </row>
    <row r="25" spans="2:11" x14ac:dyDescent="0.25">
      <c r="C25" s="3" t="s">
        <v>35</v>
      </c>
      <c r="D25" s="4" t="str">
        <f>IF(J24=1,"(Ⅰ)",IF(J24=2,"(Ⅱ)",IF(J24=3,"(Ⅲ)",IF(J24=4,"(Ⅳ)","**"))))</f>
        <v>(Ⅲ)</v>
      </c>
      <c r="J25" s="16"/>
      <c r="K25" s="16"/>
    </row>
    <row r="26" spans="2:11" x14ac:dyDescent="0.25">
      <c r="B26" s="22" t="s">
        <v>36</v>
      </c>
      <c r="C26" s="7" t="s">
        <v>37</v>
      </c>
      <c r="D26" s="7" t="s">
        <v>18</v>
      </c>
      <c r="E26" s="7"/>
      <c r="F26" s="7"/>
      <c r="G26" s="7" t="s">
        <v>38</v>
      </c>
      <c r="H26" s="7"/>
      <c r="I26" s="23" t="s">
        <v>39</v>
      </c>
      <c r="J26" s="7" t="s">
        <v>40</v>
      </c>
      <c r="K26" s="29" t="s">
        <v>41</v>
      </c>
    </row>
    <row r="27" spans="2:11" x14ac:dyDescent="0.25">
      <c r="B27" s="24">
        <f>(D23+D24)/2</f>
        <v>5.29</v>
      </c>
      <c r="C27" s="25">
        <f>wink($B27,$J24,$J27,5)</f>
        <v>5</v>
      </c>
      <c r="D27" s="25">
        <f>wink($B27,$J24,$J27,6)</f>
        <v>450</v>
      </c>
      <c r="E27" s="26"/>
      <c r="F27" s="26"/>
      <c r="G27" s="27">
        <f>wink($B27,$J24,$J27,2)</f>
        <v>0.69903279815117991</v>
      </c>
      <c r="H27" s="27"/>
      <c r="I27" s="28">
        <v>34</v>
      </c>
      <c r="J27" s="25">
        <f>0.6*G27^2*I27^2</f>
        <v>338.92545716524489</v>
      </c>
      <c r="K27" s="44">
        <v>400</v>
      </c>
    </row>
    <row r="28" spans="2:11" x14ac:dyDescent="0.25">
      <c r="B28" s="1" t="s">
        <v>42</v>
      </c>
    </row>
    <row r="29" spans="2:11" x14ac:dyDescent="0.25">
      <c r="B29" s="1" t="s">
        <v>43</v>
      </c>
    </row>
    <row r="30" spans="2:11" x14ac:dyDescent="0.25">
      <c r="B30" s="7" t="s">
        <v>44</v>
      </c>
      <c r="C30" s="7" t="s">
        <v>45</v>
      </c>
      <c r="D30" s="7" t="s">
        <v>46</v>
      </c>
      <c r="E30" s="7" t="s">
        <v>47</v>
      </c>
      <c r="F30" s="7" t="s">
        <v>48</v>
      </c>
      <c r="H30" s="7" t="s">
        <v>49</v>
      </c>
      <c r="I30" s="7" t="s">
        <v>50</v>
      </c>
      <c r="J30" s="7" t="s">
        <v>51</v>
      </c>
      <c r="K30" s="7" t="s">
        <v>52</v>
      </c>
    </row>
    <row r="31" spans="2:11" x14ac:dyDescent="0.25">
      <c r="B31" s="7" t="s">
        <v>53</v>
      </c>
      <c r="C31" s="7">
        <v>0</v>
      </c>
      <c r="D31" s="7">
        <v>0.2</v>
      </c>
      <c r="E31" s="7">
        <v>0.4</v>
      </c>
      <c r="F31" s="7">
        <v>0.8</v>
      </c>
      <c r="H31" s="7">
        <v>2</v>
      </c>
      <c r="I31" s="7">
        <v>8</v>
      </c>
      <c r="J31" s="33">
        <f>DEGREES(ATAN(H31/I31))</f>
        <v>14.036243467926479</v>
      </c>
      <c r="K31" s="7">
        <f>ROUND(peakCpe(J31),3)</f>
        <v>0.04</v>
      </c>
    </row>
    <row r="32" spans="2:11" x14ac:dyDescent="0.25">
      <c r="B32" s="31" t="s">
        <v>54</v>
      </c>
      <c r="J32" s="30"/>
    </row>
    <row r="33" spans="2:12" ht="18" customHeight="1" x14ac:dyDescent="0.25">
      <c r="B33" s="209" t="s">
        <v>24</v>
      </c>
      <c r="C33" s="213"/>
      <c r="D33" s="32" t="s">
        <v>55</v>
      </c>
      <c r="E33" s="32" t="s">
        <v>86</v>
      </c>
      <c r="F33" s="32" t="s">
        <v>56</v>
      </c>
      <c r="L33" s="1"/>
    </row>
    <row r="34" spans="2:12" x14ac:dyDescent="0.25">
      <c r="B34" s="7" t="s">
        <v>20</v>
      </c>
      <c r="C34" s="7"/>
      <c r="D34" s="33">
        <v>2.2000000000000002</v>
      </c>
      <c r="E34" s="7" t="s">
        <v>57</v>
      </c>
      <c r="F34" s="33">
        <v>1.9</v>
      </c>
      <c r="G34" s="34">
        <f>+D34-F34</f>
        <v>0.30000000000000027</v>
      </c>
      <c r="H34" s="35">
        <f>+G34/35</f>
        <v>8.5714285714285788E-3</v>
      </c>
      <c r="L34" s="1"/>
    </row>
    <row r="35" spans="2:12" x14ac:dyDescent="0.25">
      <c r="B35" s="7" t="s">
        <v>21</v>
      </c>
      <c r="C35" s="7"/>
      <c r="D35" s="33">
        <v>2.6</v>
      </c>
      <c r="E35" s="7" t="s">
        <v>57</v>
      </c>
      <c r="F35" s="33">
        <v>2.1</v>
      </c>
      <c r="G35" s="34">
        <f>+D35-F35</f>
        <v>0.5</v>
      </c>
      <c r="H35" s="35">
        <f>+G35/35</f>
        <v>1.4285714285714285E-2</v>
      </c>
      <c r="L35" s="1"/>
    </row>
    <row r="36" spans="2:12" x14ac:dyDescent="0.25">
      <c r="B36" s="7" t="s">
        <v>22</v>
      </c>
      <c r="C36" s="7"/>
      <c r="D36" s="33">
        <v>3.1</v>
      </c>
      <c r="E36" s="7" t="s">
        <v>57</v>
      </c>
      <c r="F36" s="33">
        <v>2.2999999999999998</v>
      </c>
      <c r="G36" s="34">
        <f>+D36-F36</f>
        <v>0.80000000000000027</v>
      </c>
      <c r="H36" s="35">
        <f>+G36/35</f>
        <v>2.2857142857142864E-2</v>
      </c>
      <c r="I36" s="1">
        <f>3.1-(B27-5)*H36</f>
        <v>3.0933714285714284</v>
      </c>
      <c r="L36" s="1"/>
    </row>
    <row r="37" spans="2:12" x14ac:dyDescent="0.25">
      <c r="B37" s="7" t="s">
        <v>23</v>
      </c>
      <c r="C37" s="7"/>
      <c r="D37" s="33">
        <v>3.1</v>
      </c>
      <c r="E37" s="7" t="s">
        <v>57</v>
      </c>
      <c r="F37" s="33">
        <v>2.2999999999999998</v>
      </c>
      <c r="G37" s="34">
        <f>+D37-F37</f>
        <v>0.80000000000000027</v>
      </c>
      <c r="H37" s="35">
        <f>+G37/35</f>
        <v>2.2857142857142864E-2</v>
      </c>
      <c r="L37" s="1"/>
    </row>
    <row r="38" spans="2:12" x14ac:dyDescent="0.25">
      <c r="B38" s="31" t="s">
        <v>58</v>
      </c>
    </row>
    <row r="39" spans="2:12" x14ac:dyDescent="0.25">
      <c r="B39" s="7" t="s">
        <v>44</v>
      </c>
      <c r="C39" s="32" t="s">
        <v>59</v>
      </c>
      <c r="D39" s="32" t="s">
        <v>60</v>
      </c>
      <c r="E39" s="32" t="s">
        <v>61</v>
      </c>
      <c r="G39" s="33">
        <f>J31</f>
        <v>14.036243467926479</v>
      </c>
    </row>
    <row r="40" spans="2:12" x14ac:dyDescent="0.25">
      <c r="B40" s="7">
        <v>1</v>
      </c>
      <c r="C40" s="33">
        <v>-2.5</v>
      </c>
      <c r="D40" s="7">
        <v>-2.5</v>
      </c>
      <c r="E40" s="33">
        <v>-2.5</v>
      </c>
      <c r="F40" s="34"/>
      <c r="G40" s="10">
        <f>peakGpe(G$39,B40)</f>
        <v>-2.5</v>
      </c>
    </row>
    <row r="41" spans="2:12" x14ac:dyDescent="0.25">
      <c r="B41" s="7">
        <v>2</v>
      </c>
      <c r="C41" s="33">
        <v>-3.2</v>
      </c>
      <c r="D41" s="7">
        <v>-3.2</v>
      </c>
      <c r="E41" s="33">
        <v>-3.2</v>
      </c>
      <c r="F41" s="34"/>
      <c r="G41" s="10">
        <f t="shared" ref="G41:G43" si="0">peakGpe(G$39,B41)</f>
        <v>-3.2</v>
      </c>
    </row>
    <row r="42" spans="2:12" x14ac:dyDescent="0.25">
      <c r="B42" s="7">
        <v>3</v>
      </c>
      <c r="C42" s="33">
        <v>-4.3</v>
      </c>
      <c r="D42" s="7">
        <v>-3.2</v>
      </c>
      <c r="E42" s="33">
        <v>-3.2</v>
      </c>
      <c r="F42" s="34"/>
      <c r="G42" s="10">
        <f t="shared" si="0"/>
        <v>-3.8560132209338756</v>
      </c>
    </row>
    <row r="43" spans="2:12" x14ac:dyDescent="0.25">
      <c r="B43" s="7">
        <v>4</v>
      </c>
      <c r="C43" s="33">
        <v>-3.2</v>
      </c>
      <c r="D43" s="7">
        <v>-5.4</v>
      </c>
      <c r="E43" s="33">
        <v>-3.2</v>
      </c>
      <c r="F43" s="34"/>
      <c r="G43" s="10">
        <f t="shared" si="0"/>
        <v>-4.0879735581322478</v>
      </c>
    </row>
    <row r="44" spans="2:12" x14ac:dyDescent="0.25">
      <c r="B44" s="11"/>
      <c r="C44" s="12"/>
      <c r="D44" s="11"/>
      <c r="E44" s="12"/>
      <c r="F44" s="34"/>
      <c r="G44" s="35"/>
    </row>
    <row r="45" spans="2:12" x14ac:dyDescent="0.25">
      <c r="B45" s="22" t="s">
        <v>36</v>
      </c>
      <c r="C45" s="7" t="s">
        <v>62</v>
      </c>
      <c r="D45" s="7" t="s">
        <v>53</v>
      </c>
      <c r="E45" s="7" t="s">
        <v>63</v>
      </c>
      <c r="F45" s="7" t="s">
        <v>64</v>
      </c>
      <c r="G45" s="7" t="s">
        <v>65</v>
      </c>
      <c r="H45" s="7" t="s">
        <v>66</v>
      </c>
      <c r="I45" s="7" t="s">
        <v>85</v>
      </c>
      <c r="K45"/>
    </row>
    <row r="46" spans="2:12" x14ac:dyDescent="0.25">
      <c r="B46" s="24">
        <f>+B27</f>
        <v>5.29</v>
      </c>
      <c r="C46" s="27"/>
      <c r="D46" s="36">
        <f>K31</f>
        <v>0.04</v>
      </c>
      <c r="E46" s="36">
        <f>I36</f>
        <v>3.0933714285714284</v>
      </c>
      <c r="F46" s="37">
        <f>G40</f>
        <v>-2.5</v>
      </c>
      <c r="G46" s="37">
        <f>G41</f>
        <v>-3.2</v>
      </c>
      <c r="H46" s="37">
        <f>G42</f>
        <v>-3.8560132209338756</v>
      </c>
      <c r="I46" s="45">
        <f>G43</f>
        <v>-4.0879735581322478</v>
      </c>
      <c r="K46"/>
    </row>
    <row r="48" spans="2:12" x14ac:dyDescent="0.25">
      <c r="B48" s="1" t="s">
        <v>67</v>
      </c>
    </row>
    <row r="49" spans="2:11" x14ac:dyDescent="0.25">
      <c r="B49" s="194" t="s">
        <v>68</v>
      </c>
      <c r="C49" s="194"/>
      <c r="D49" s="38" t="s">
        <v>69</v>
      </c>
      <c r="E49" s="38"/>
      <c r="F49" s="38"/>
      <c r="G49" s="39">
        <v>-0.5</v>
      </c>
    </row>
    <row r="50" spans="2:11" x14ac:dyDescent="0.25">
      <c r="B50" s="194"/>
      <c r="C50" s="194"/>
      <c r="D50" s="38" t="s">
        <v>70</v>
      </c>
      <c r="E50" s="38"/>
      <c r="F50" s="38"/>
      <c r="G50" s="40">
        <v>0</v>
      </c>
    </row>
    <row r="51" spans="2:11" x14ac:dyDescent="0.25">
      <c r="B51" s="194" t="s">
        <v>71</v>
      </c>
      <c r="C51" s="194"/>
      <c r="D51" s="194" t="s">
        <v>72</v>
      </c>
      <c r="E51" s="194"/>
      <c r="F51" s="194"/>
      <c r="G51" s="39">
        <v>1.5</v>
      </c>
    </row>
    <row r="52" spans="2:11" x14ac:dyDescent="0.25">
      <c r="B52" s="194"/>
      <c r="C52" s="194"/>
      <c r="D52" s="211" t="s">
        <v>73</v>
      </c>
      <c r="E52" s="214"/>
      <c r="F52" s="212"/>
      <c r="G52" s="39">
        <v>-1.2</v>
      </c>
    </row>
    <row r="54" spans="2:11" x14ac:dyDescent="0.25">
      <c r="B54" s="41" t="s">
        <v>74</v>
      </c>
    </row>
    <row r="55" spans="2:11" x14ac:dyDescent="0.25">
      <c r="B55" s="196" t="s">
        <v>75</v>
      </c>
      <c r="C55" s="197"/>
      <c r="D55" s="198"/>
      <c r="E55" s="46" t="s">
        <v>76</v>
      </c>
      <c r="F55" s="203" t="s">
        <v>77</v>
      </c>
      <c r="G55" s="203"/>
      <c r="H55" s="195" t="s">
        <v>78</v>
      </c>
      <c r="I55" s="195" t="s">
        <v>79</v>
      </c>
      <c r="J55" s="195"/>
      <c r="K55"/>
    </row>
    <row r="56" spans="2:11" x14ac:dyDescent="0.25">
      <c r="B56" s="199"/>
      <c r="C56" s="200"/>
      <c r="D56" s="201"/>
      <c r="E56" s="47"/>
      <c r="F56" s="202" t="s">
        <v>80</v>
      </c>
      <c r="G56" s="202"/>
      <c r="H56" s="195"/>
      <c r="I56" s="195"/>
      <c r="J56" s="195"/>
      <c r="K56"/>
    </row>
    <row r="57" spans="2:11" x14ac:dyDescent="0.25">
      <c r="B57" s="39" t="s">
        <v>81</v>
      </c>
      <c r="C57" s="39"/>
      <c r="D57" s="42">
        <f>D46*E46</f>
        <v>0.12373485714285715</v>
      </c>
      <c r="E57" s="38">
        <v>-0.5</v>
      </c>
      <c r="F57" s="193">
        <f>D57-E57</f>
        <v>0.62373485714285715</v>
      </c>
      <c r="G57" s="194"/>
      <c r="H57" s="43">
        <f>+K27</f>
        <v>400</v>
      </c>
      <c r="I57" s="190">
        <f>+F57*H57</f>
        <v>249.49394285714286</v>
      </c>
      <c r="J57" s="190"/>
      <c r="K57"/>
    </row>
    <row r="58" spans="2:11" x14ac:dyDescent="0.25">
      <c r="B58" s="39" t="s">
        <v>82</v>
      </c>
      <c r="C58" s="39"/>
      <c r="D58" s="42">
        <v>-2.5</v>
      </c>
      <c r="E58" s="38">
        <v>0</v>
      </c>
      <c r="F58" s="193">
        <f>+D58-E58</f>
        <v>-2.5</v>
      </c>
      <c r="G58" s="194"/>
      <c r="H58" s="43">
        <f>+H57</f>
        <v>400</v>
      </c>
      <c r="I58" s="190">
        <f>+F58*H58</f>
        <v>-1000</v>
      </c>
      <c r="J58" s="190"/>
      <c r="K58"/>
    </row>
    <row r="59" spans="2:11" x14ac:dyDescent="0.25">
      <c r="B59" s="39" t="s">
        <v>83</v>
      </c>
      <c r="C59" s="39"/>
      <c r="D59" s="42">
        <v>-3.2</v>
      </c>
      <c r="E59" s="38">
        <v>0</v>
      </c>
      <c r="F59" s="193">
        <f>+D59-E59</f>
        <v>-3.2</v>
      </c>
      <c r="G59" s="194"/>
      <c r="H59" s="43">
        <f>+H58</f>
        <v>400</v>
      </c>
      <c r="I59" s="190">
        <f>+F59*H59</f>
        <v>-1280</v>
      </c>
      <c r="J59" s="190"/>
      <c r="K59"/>
    </row>
    <row r="60" spans="2:11" x14ac:dyDescent="0.25">
      <c r="B60" s="191" t="s">
        <v>84</v>
      </c>
      <c r="C60" s="192"/>
      <c r="D60" s="42">
        <f>+H46</f>
        <v>-3.8560132209338756</v>
      </c>
      <c r="E60" s="38">
        <v>0</v>
      </c>
      <c r="F60" s="193">
        <f>+D60-E60</f>
        <v>-3.8560132209338756</v>
      </c>
      <c r="G60" s="194"/>
      <c r="H60" s="43">
        <f>+H59</f>
        <v>400</v>
      </c>
      <c r="I60" s="190">
        <f>+F60*H60</f>
        <v>-1542.4052883735503</v>
      </c>
      <c r="J60" s="190"/>
      <c r="K60"/>
    </row>
    <row r="61" spans="2:11" x14ac:dyDescent="0.25">
      <c r="B61" s="191" t="s">
        <v>87</v>
      </c>
      <c r="C61" s="192"/>
      <c r="D61" s="42">
        <f>I46</f>
        <v>-4.0879735581322478</v>
      </c>
      <c r="E61" s="38">
        <v>0</v>
      </c>
      <c r="F61" s="193">
        <f>+D61-E61</f>
        <v>-4.0879735581322478</v>
      </c>
      <c r="G61" s="194"/>
      <c r="H61" s="43">
        <f>+H60</f>
        <v>400</v>
      </c>
      <c r="I61" s="190">
        <f>+F61*H61</f>
        <v>-1635.1894232528991</v>
      </c>
      <c r="J61" s="190"/>
      <c r="K61"/>
    </row>
  </sheetData>
  <mergeCells count="34">
    <mergeCell ref="B20:J20"/>
    <mergeCell ref="B49:C50"/>
    <mergeCell ref="B51:C52"/>
    <mergeCell ref="B17:J18"/>
    <mergeCell ref="B9:C9"/>
    <mergeCell ref="B10:C10"/>
    <mergeCell ref="B11:C11"/>
    <mergeCell ref="B12:C12"/>
    <mergeCell ref="B13:C13"/>
    <mergeCell ref="B33:C33"/>
    <mergeCell ref="D51:F51"/>
    <mergeCell ref="D52:F52"/>
    <mergeCell ref="D4:E4"/>
    <mergeCell ref="D6:E6"/>
    <mergeCell ref="D7:E7"/>
    <mergeCell ref="B15:J15"/>
    <mergeCell ref="B16:J16"/>
    <mergeCell ref="H55:H56"/>
    <mergeCell ref="I55:J56"/>
    <mergeCell ref="B55:D56"/>
    <mergeCell ref="F59:G59"/>
    <mergeCell ref="I59:J59"/>
    <mergeCell ref="F56:G56"/>
    <mergeCell ref="F57:G57"/>
    <mergeCell ref="F55:G55"/>
    <mergeCell ref="I61:J61"/>
    <mergeCell ref="B61:C61"/>
    <mergeCell ref="I57:J57"/>
    <mergeCell ref="F58:G58"/>
    <mergeCell ref="I58:J58"/>
    <mergeCell ref="B60:C60"/>
    <mergeCell ref="F60:G60"/>
    <mergeCell ref="I60:J60"/>
    <mergeCell ref="F61:G61"/>
  </mergeCells>
  <phoneticPr fontId="3"/>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heetViews>
  <sheetFormatPr defaultRowHeight="18" x14ac:dyDescent="0.8"/>
  <sheetData/>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帳壁</vt:lpstr>
      <vt:lpstr>屋根</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2022-01-25T05:33:34Z</cp:lastPrinted>
  <dcterms:created xsi:type="dcterms:W3CDTF">2021-11-09T23:43:54Z</dcterms:created>
  <dcterms:modified xsi:type="dcterms:W3CDTF">2022-01-25T08:50:32Z</dcterms:modified>
</cp:coreProperties>
</file>